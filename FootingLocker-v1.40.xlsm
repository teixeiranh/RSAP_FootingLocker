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saisinvest-my.sharepoint.com/personal/nuno_teixeira_topbim_pt2/Documents/03.TOPBIM/EXCEL/StructuralEngineering/99.RSAP ADDINS/NT/FootingLocker/(released)/"/>
    </mc:Choice>
  </mc:AlternateContent>
  <xr:revisionPtr revIDLastSave="569" documentId="8_{ED2B2EE7-3F8E-4BC6-95EC-1EFE398C7015}" xr6:coauthVersionLast="47" xr6:coauthVersionMax="47" xr10:uidLastSave="{8E0B6655-9C2A-40DF-875A-18A991C7BFD6}"/>
  <bookViews>
    <workbookView xWindow="3420" yWindow="3420" windowWidth="19200" windowHeight="11210" tabRatio="917" activeTab="2" xr2:uid="{D34B89F2-CBC2-4E6E-A3A7-E61FD437D742}"/>
  </bookViews>
  <sheets>
    <sheet name="IsolatedFooting.UI" sheetId="8" r:id="rId1"/>
    <sheet name="SpreadFooting.UI" sheetId="12" r:id="rId2"/>
    <sheet name="FoundationSlab.UI" sheetId="14" r:id="rId3"/>
    <sheet name="Wrinkler Simplificado" sheetId="16" state="hidden" r:id="rId4"/>
    <sheet name="auxiliar" sheetId="17" state="hidden" r:id="rId5"/>
    <sheet name="footing.columns.backend" sheetId="11" state="hidden" r:id="rId6"/>
    <sheet name="footing.wall.backend" sheetId="13" state="hidden" r:id="rId7"/>
    <sheet name="footing.slab.backend" sheetId="15" state="hidden" r:id="rId8"/>
  </sheets>
  <functionGroups builtInGroupCount="19"/>
  <definedNames>
    <definedName name="b">#REF!</definedName>
    <definedName name="d">#REF!</definedName>
    <definedName name="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" i="17" l="1"/>
  <c r="I14" i="17"/>
  <c r="J13" i="17"/>
  <c r="I13" i="17"/>
  <c r="J12" i="17"/>
  <c r="I12" i="17"/>
  <c r="J11" i="17"/>
  <c r="I11" i="17"/>
  <c r="J10" i="17"/>
  <c r="I10" i="17"/>
  <c r="I6" i="17"/>
  <c r="J5" i="17"/>
  <c r="I5" i="17"/>
  <c r="J4" i="17"/>
  <c r="I4" i="17"/>
  <c r="I3" i="17"/>
  <c r="I2" i="17"/>
  <c r="AA24" i="16"/>
  <c r="X24" i="16"/>
  <c r="Y24" i="16" s="1"/>
  <c r="W24" i="16"/>
  <c r="U24" i="16"/>
  <c r="S24" i="16"/>
  <c r="Q24" i="16"/>
  <c r="AB23" i="16"/>
  <c r="AA23" i="16" s="1"/>
  <c r="Z23" i="16"/>
  <c r="V23" i="16"/>
  <c r="U23" i="16"/>
  <c r="T23" i="16"/>
  <c r="R23" i="16"/>
  <c r="S23" i="16" s="1"/>
  <c r="P23" i="16"/>
  <c r="O23" i="16"/>
  <c r="AA22" i="16"/>
  <c r="Y22" i="16"/>
  <c r="X22" i="16"/>
  <c r="W22" i="16"/>
  <c r="U22" i="16"/>
  <c r="S22" i="16"/>
  <c r="Q22" i="16"/>
  <c r="AB21" i="16"/>
  <c r="AA21" i="16" s="1"/>
  <c r="Z21" i="16"/>
  <c r="V21" i="16"/>
  <c r="X21" i="16" s="1"/>
  <c r="W21" i="16" s="1"/>
  <c r="U21" i="16"/>
  <c r="T21" i="16"/>
  <c r="S21" i="16" s="1"/>
  <c r="R21" i="16"/>
  <c r="P21" i="16"/>
  <c r="Q21" i="16" s="1"/>
  <c r="O21" i="16"/>
  <c r="AA20" i="16"/>
  <c r="Y20" i="16"/>
  <c r="X20" i="16"/>
  <c r="W20" i="16" s="1"/>
  <c r="U20" i="16"/>
  <c r="S20" i="16"/>
  <c r="Q20" i="16"/>
  <c r="AB19" i="16"/>
  <c r="AA19" i="16" s="1"/>
  <c r="Z19" i="16"/>
  <c r="V19" i="16"/>
  <c r="T19" i="16"/>
  <c r="U19" i="16" s="1"/>
  <c r="R19" i="16"/>
  <c r="S19" i="16" s="1"/>
  <c r="P19" i="16"/>
  <c r="O19" i="16"/>
  <c r="AA18" i="16"/>
  <c r="X18" i="16"/>
  <c r="Y18" i="16" s="1"/>
  <c r="W18" i="16"/>
  <c r="U18" i="16"/>
  <c r="S18" i="16"/>
  <c r="Q18" i="16"/>
  <c r="AB17" i="16"/>
  <c r="AA17" i="16" s="1"/>
  <c r="Z17" i="16"/>
  <c r="X17" i="16"/>
  <c r="Y17" i="16" s="1"/>
  <c r="W17" i="16"/>
  <c r="V17" i="16"/>
  <c r="U17" i="16" s="1"/>
  <c r="T17" i="16"/>
  <c r="S17" i="16" s="1"/>
  <c r="R17" i="16"/>
  <c r="P17" i="16"/>
  <c r="Q17" i="16" s="1"/>
  <c r="AA16" i="16"/>
  <c r="Y16" i="16"/>
  <c r="X16" i="16"/>
  <c r="W16" i="16"/>
  <c r="U16" i="16"/>
  <c r="S16" i="16"/>
  <c r="Q16" i="16"/>
  <c r="AB15" i="16"/>
  <c r="AA15" i="16" s="1"/>
  <c r="Z15" i="16"/>
  <c r="V15" i="16"/>
  <c r="X15" i="16" s="1"/>
  <c r="W15" i="16" s="1"/>
  <c r="T15" i="16"/>
  <c r="U15" i="16" s="1"/>
  <c r="R15" i="16"/>
  <c r="Q15" i="16" s="1"/>
  <c r="P15" i="16"/>
  <c r="AA14" i="16"/>
  <c r="X14" i="16"/>
  <c r="Y14" i="16" s="1"/>
  <c r="W14" i="16"/>
  <c r="U14" i="16"/>
  <c r="S14" i="16"/>
  <c r="Q14" i="16"/>
  <c r="AB13" i="16"/>
  <c r="AA13" i="16" s="1"/>
  <c r="Z13" i="16"/>
  <c r="X13" i="16"/>
  <c r="W13" i="16" s="1"/>
  <c r="V13" i="16"/>
  <c r="U13" i="16" s="1"/>
  <c r="T13" i="16"/>
  <c r="S13" i="16" s="1"/>
  <c r="R13" i="16"/>
  <c r="P13" i="16"/>
  <c r="Q13" i="16" s="1"/>
  <c r="AA12" i="16"/>
  <c r="Y12" i="16"/>
  <c r="X12" i="16"/>
  <c r="W12" i="16"/>
  <c r="U12" i="16"/>
  <c r="S12" i="16"/>
  <c r="Q12" i="16"/>
  <c r="AB11" i="16"/>
  <c r="AA11" i="16"/>
  <c r="Z11" i="16"/>
  <c r="Y11" i="16" s="1"/>
  <c r="V11" i="16"/>
  <c r="X11" i="16" s="1"/>
  <c r="W11" i="16" s="1"/>
  <c r="T11" i="16"/>
  <c r="U11" i="16" s="1"/>
  <c r="S11" i="16"/>
  <c r="R11" i="16"/>
  <c r="Q11" i="16" s="1"/>
  <c r="P11" i="16"/>
  <c r="AA10" i="16"/>
  <c r="X10" i="16"/>
  <c r="Y10" i="16" s="1"/>
  <c r="W10" i="16"/>
  <c r="U10" i="16"/>
  <c r="S10" i="16"/>
  <c r="Q10" i="16"/>
  <c r="AB9" i="16"/>
  <c r="Z9" i="16"/>
  <c r="AA9" i="16" s="1"/>
  <c r="V9" i="16"/>
  <c r="U9" i="16" s="1"/>
  <c r="T9" i="16"/>
  <c r="R9" i="16"/>
  <c r="S9" i="16" s="1"/>
  <c r="Q9" i="16"/>
  <c r="P9" i="16"/>
  <c r="AA8" i="16"/>
  <c r="Y8" i="16"/>
  <c r="X8" i="16"/>
  <c r="W8" i="16"/>
  <c r="U8" i="16"/>
  <c r="S8" i="16"/>
  <c r="Q8" i="16"/>
  <c r="AB7" i="16"/>
  <c r="AA7" i="16" s="1"/>
  <c r="Z7" i="16"/>
  <c r="V7" i="16"/>
  <c r="X7" i="16" s="1"/>
  <c r="W7" i="16" s="1"/>
  <c r="U7" i="16"/>
  <c r="T7" i="16"/>
  <c r="S7" i="16" s="1"/>
  <c r="R7" i="16"/>
  <c r="Q7" i="16" s="1"/>
  <c r="P7" i="16"/>
  <c r="C7" i="16"/>
  <c r="AA6" i="16"/>
  <c r="Y6" i="16"/>
  <c r="X6" i="16"/>
  <c r="W6" i="16" s="1"/>
  <c r="U6" i="16"/>
  <c r="S6" i="16"/>
  <c r="Q6" i="16"/>
  <c r="C6" i="16"/>
  <c r="C10" i="16" s="1"/>
  <c r="C11" i="16" s="1"/>
  <c r="AB5" i="16"/>
  <c r="AA5" i="16"/>
  <c r="Z5" i="16"/>
  <c r="V5" i="16"/>
  <c r="X5" i="16" s="1"/>
  <c r="W5" i="16" s="1"/>
  <c r="T5" i="16"/>
  <c r="U5" i="16" s="1"/>
  <c r="S5" i="16"/>
  <c r="R5" i="16"/>
  <c r="Q5" i="16" s="1"/>
  <c r="P5" i="16"/>
  <c r="AA4" i="16"/>
  <c r="X4" i="16"/>
  <c r="Y4" i="16" s="1"/>
  <c r="W4" i="16"/>
  <c r="U4" i="16"/>
  <c r="S4" i="16"/>
  <c r="Q4" i="16"/>
  <c r="AB3" i="16"/>
  <c r="AA3" i="16" s="1"/>
  <c r="X3" i="16"/>
  <c r="Y3" i="16" s="1"/>
  <c r="W3" i="16"/>
  <c r="U3" i="16"/>
  <c r="S3" i="16"/>
  <c r="Q3" i="16"/>
  <c r="Y5" i="16" l="1"/>
  <c r="Y7" i="16"/>
  <c r="Y21" i="16"/>
  <c r="Y19" i="16"/>
  <c r="Y15" i="16"/>
  <c r="Y13" i="16"/>
  <c r="X19" i="16"/>
  <c r="W19" i="16" s="1"/>
  <c r="X9" i="16"/>
  <c r="Q19" i="16"/>
  <c r="S15" i="16"/>
  <c r="X23" i="16"/>
  <c r="W23" i="16" s="1"/>
  <c r="Q23" i="16"/>
  <c r="Y9" i="16" l="1"/>
  <c r="W9" i="16"/>
  <c r="Y23" i="16"/>
  <c r="F8" i="13"/>
  <c r="F7" i="13"/>
  <c r="F6" i="13"/>
  <c r="F5" i="13"/>
  <c r="F4" i="13"/>
  <c r="J10" i="11"/>
  <c r="J9" i="11"/>
  <c r="J6" i="11"/>
  <c r="J5" i="11"/>
  <c r="J4" i="11"/>
  <c r="D6" i="11" s="1"/>
  <c r="C5" i="11" l="1"/>
  <c r="J7" i="11"/>
  <c r="J8" i="11"/>
  <c r="D5" i="11"/>
  <c r="C4" i="11"/>
  <c r="C8" i="11" s="1"/>
  <c r="D7" i="11"/>
  <c r="C7" i="11"/>
  <c r="D4" i="11"/>
  <c r="D8" i="11" s="1"/>
  <c r="C6" i="11"/>
  <c r="F6" i="11" l="1"/>
  <c r="F4" i="11"/>
  <c r="F8" i="11" s="1"/>
  <c r="G5" i="11"/>
  <c r="F5" i="11"/>
  <c r="G4" i="11"/>
  <c r="G8" i="11" s="1"/>
  <c r="F7" i="11"/>
  <c r="G7" i="11"/>
  <c r="G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Nuno Henrique Teixeira</author>
    <author>Nuno Teixeira</author>
  </authors>
  <commentList>
    <comment ref="B2" authorId="0" shapeId="0" xr:uid="{6E1E47B4-89DC-4C71-B40E-48BB1C1A5051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Length in the X direction.</t>
        </r>
      </text>
    </comment>
    <comment ref="B3" authorId="0" shapeId="0" xr:uid="{4E32FD8D-17CA-4D4C-A213-16181FE8B105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Length in the Y direction.</t>
        </r>
      </text>
    </comment>
    <comment ref="B4" authorId="0" shapeId="0" xr:uid="{C9D5ABB4-4B18-4BD3-A908-9D6F893654BE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Height of the footing.</t>
        </r>
      </text>
    </comment>
    <comment ref="B5" authorId="0" shapeId="0" xr:uid="{9104A4BD-BC8F-48D7-A0A1-089C3EAD792C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Footing's id.</t>
        </r>
      </text>
    </comment>
    <comment ref="B6" authorId="0" shapeId="0" xr:uid="{CF0A67A9-F57D-4770-8E7B-E88DBB749AD4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Excentricity relative to x direction.</t>
        </r>
      </text>
    </comment>
    <comment ref="B7" authorId="0" shapeId="0" xr:uid="{1FA0B0AF-BE7E-4F6B-A5BD-119D8956FED0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Excentricity relative to y direction.</t>
        </r>
      </text>
    </comment>
    <comment ref="B8" authorId="1" shapeId="0" xr:uid="{4195B4D9-991C-48CC-B764-2F3379E2CFFF}">
      <text>
        <r>
          <rPr>
            <b/>
            <sz val="9"/>
            <color indexed="81"/>
            <rFont val="Tahoma"/>
            <family val="2"/>
          </rPr>
          <t>Nuno Teixeira:</t>
        </r>
        <r>
          <rPr>
            <sz val="9"/>
            <color indexed="81"/>
            <rFont val="Tahoma"/>
            <family val="2"/>
          </rPr>
          <t xml:space="preserve">
Rotation of the footing.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Nuno Henrique Teixeira</author>
  </authors>
  <commentList>
    <comment ref="B2" authorId="0" shapeId="0" xr:uid="{AB5785CA-5879-4492-8999-2A5E35A137E5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Footings width.</t>
        </r>
      </text>
    </comment>
    <comment ref="B3" authorId="0" shapeId="0" xr:uid="{AF0EEBC8-A887-43C2-9525-B27829C92BDD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Footings heigth.</t>
        </r>
      </text>
    </comment>
    <comment ref="B4" authorId="0" shapeId="0" xr:uid="{1E1296A0-88CE-465E-B89E-300DA6A3B8EC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Footing's id.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Nuno Henrique Teixeira</author>
  </authors>
  <commentList>
    <comment ref="B8" authorId="0" shapeId="0" xr:uid="{AEB3FA3F-6B45-4E36-9CA9-4171DBD991C2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Valor de controlo do valor máximo da tabela do lado direito, onde se usaram pontos intermédios para arredondar o valor do Is;</t>
        </r>
      </text>
    </comment>
  </commentList>
</comments>
</file>

<file path=xl/sharedStrings.xml><?xml version="1.0" encoding="utf-8"?>
<sst xmlns="http://schemas.openxmlformats.org/spreadsheetml/2006/main" count="77" uniqueCount="45">
  <si>
    <t>h (m)</t>
  </si>
  <si>
    <t>x</t>
  </si>
  <si>
    <t>y</t>
  </si>
  <si>
    <t>input</t>
  </si>
  <si>
    <r>
      <t>b</t>
    </r>
    <r>
      <rPr>
        <vertAlign val="subscript"/>
        <sz val="11"/>
        <color theme="1"/>
        <rFont val="Arial Narrow"/>
        <family val="2"/>
      </rPr>
      <t>x</t>
    </r>
    <r>
      <rPr>
        <sz val="11"/>
        <color theme="1"/>
        <rFont val="Arial Narrow"/>
        <family val="2"/>
      </rPr>
      <t xml:space="preserve"> (m)</t>
    </r>
  </si>
  <si>
    <t>Ângulo</t>
  </si>
  <si>
    <t>Ângulo (rad)</t>
  </si>
  <si>
    <t>Angle (deg)</t>
  </si>
  <si>
    <t>RaioDiagonal</t>
  </si>
  <si>
    <r>
      <t>b</t>
    </r>
    <r>
      <rPr>
        <vertAlign val="subscript"/>
        <sz val="11"/>
        <color theme="1"/>
        <rFont val="Arial Narrow"/>
        <family val="2"/>
      </rPr>
      <t>y</t>
    </r>
    <r>
      <rPr>
        <sz val="11"/>
        <color theme="1"/>
        <rFont val="Arial Narrow"/>
        <family val="2"/>
      </rPr>
      <t xml:space="preserve"> (m)</t>
    </r>
  </si>
  <si>
    <r>
      <t>e</t>
    </r>
    <r>
      <rPr>
        <vertAlign val="subscript"/>
        <sz val="11"/>
        <color theme="1"/>
        <rFont val="Arial Narrow"/>
        <family val="2"/>
      </rPr>
      <t>x</t>
    </r>
    <r>
      <rPr>
        <sz val="11"/>
        <color theme="1"/>
        <rFont val="Arial Narrow"/>
        <family val="2"/>
      </rPr>
      <t xml:space="preserve"> (m)</t>
    </r>
  </si>
  <si>
    <r>
      <t>e</t>
    </r>
    <r>
      <rPr>
        <vertAlign val="subscript"/>
        <sz val="11"/>
        <color theme="1"/>
        <rFont val="Arial Narrow"/>
        <family val="2"/>
      </rPr>
      <t>y</t>
    </r>
    <r>
      <rPr>
        <sz val="11"/>
        <color theme="1"/>
        <rFont val="Arial Narrow"/>
        <family val="2"/>
      </rPr>
      <t xml:space="preserve"> (m)</t>
    </r>
  </si>
  <si>
    <t>Pilar 25x25 auxiliar</t>
  </si>
  <si>
    <t>Parede 25x100 auxiliar</t>
  </si>
  <si>
    <t>Sapata</t>
  </si>
  <si>
    <t>DiagonalPilarAuxiliar</t>
  </si>
  <si>
    <t>bSapata</t>
  </si>
  <si>
    <t>hSapata</t>
  </si>
  <si>
    <t>AnguloDiagonalSap (rad)</t>
  </si>
  <si>
    <t>AnguloPilarAuxiliar</t>
  </si>
  <si>
    <t>Id</t>
  </si>
  <si>
    <t>bx</t>
  </si>
  <si>
    <t>h</t>
  </si>
  <si>
    <t>id</t>
  </si>
  <si>
    <t>by</t>
  </si>
  <si>
    <t>offset</t>
  </si>
  <si>
    <t>Type</t>
  </si>
  <si>
    <t>E (kPa)</t>
  </si>
  <si>
    <t>Report</t>
  </si>
  <si>
    <t>H/B</t>
  </si>
  <si>
    <t>L/B=</t>
  </si>
  <si>
    <t>B (m)</t>
  </si>
  <si>
    <t>RSAP</t>
  </si>
  <si>
    <t>L (m)</t>
  </si>
  <si>
    <t>H (m)</t>
  </si>
  <si>
    <t>L/B</t>
  </si>
  <si>
    <r>
      <t>L/B</t>
    </r>
    <r>
      <rPr>
        <vertAlign val="subscript"/>
        <sz val="11"/>
        <color theme="1"/>
        <rFont val="Calibri"/>
        <family val="2"/>
        <scheme val="minor"/>
      </rPr>
      <t>max</t>
    </r>
  </si>
  <si>
    <t>v</t>
  </si>
  <si>
    <r>
      <t>I</t>
    </r>
    <r>
      <rPr>
        <vertAlign val="subscript"/>
        <sz val="11"/>
        <color theme="1"/>
        <rFont val="Calibri"/>
        <family val="2"/>
        <scheme val="minor"/>
      </rPr>
      <t>s</t>
    </r>
  </si>
  <si>
    <r>
      <t>k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</si>
  <si>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 xml:space="preserve">offset </t>
  </si>
  <si>
    <t>S6</t>
  </si>
  <si>
    <t>SM1</t>
  </si>
  <si>
    <t>Dimensions</t>
  </si>
  <si>
    <t>Isoladas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</si>
</sst>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 Narrow"/>
      <family val="2"/>
    </font>
    <font>
      <vertAlign val="subscript"/>
      <sz val="11"/>
      <color theme="1"/>
      <name val="Arial Narrow"/>
      <family val="2"/>
    </font>
    <font>
      <i/>
      <sz val="11"/>
      <color theme="1"/>
      <name val="Arial Narrow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rgb="FF7F7F7F"/>
      <name val="Calibri"/>
      <family val="2"/>
      <scheme val="minor"/>
    </font>
    <font>
      <i/>
      <sz val="8"/>
      <color rgb="FF7F7F7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2" fontId="3" fillId="2" borderId="2" xfId="0" applyNumberFormat="1" applyFont="1" applyFill="1" applyBorder="1" applyProtection="1">
      <protection locked="0"/>
    </xf>
    <xf numFmtId="0" fontId="0" fillId="4" borderId="0" xfId="0" applyFill="1"/>
    <xf numFmtId="0" fontId="3" fillId="0" borderId="7" xfId="0" applyFont="1" applyBorder="1"/>
    <xf numFmtId="2" fontId="3" fillId="2" borderId="6" xfId="0" applyNumberFormat="1" applyFont="1" applyFill="1" applyBorder="1" applyProtection="1">
      <protection locked="0"/>
    </xf>
    <xf numFmtId="0" fontId="3" fillId="2" borderId="8" xfId="1" applyFill="1" applyBorder="1"/>
    <xf numFmtId="49" fontId="5" fillId="2" borderId="6" xfId="0" applyNumberFormat="1" applyFont="1" applyFill="1" applyBorder="1" applyAlignment="1" applyProtection="1">
      <alignment horizontal="right"/>
      <protection locked="0"/>
    </xf>
    <xf numFmtId="0" fontId="3" fillId="0" borderId="5" xfId="0" applyFont="1" applyBorder="1"/>
    <xf numFmtId="0" fontId="3" fillId="0" borderId="3" xfId="0" applyFont="1" applyBorder="1"/>
    <xf numFmtId="2" fontId="0" fillId="2" borderId="6" xfId="0" applyNumberFormat="1" applyFill="1" applyBorder="1"/>
    <xf numFmtId="2" fontId="0" fillId="2" borderId="4" xfId="0" applyNumberFormat="1" applyFill="1" applyBorder="1"/>
    <xf numFmtId="0" fontId="3" fillId="0" borderId="1" xfId="0" applyFont="1" applyBorder="1"/>
    <xf numFmtId="0" fontId="0" fillId="5" borderId="0" xfId="0" applyFill="1"/>
    <xf numFmtId="0" fontId="0" fillId="5" borderId="0" xfId="0" applyFill="1" applyAlignment="1">
      <alignment horizontal="center"/>
    </xf>
    <xf numFmtId="0" fontId="0" fillId="3" borderId="0" xfId="0" applyFill="1"/>
    <xf numFmtId="0" fontId="0" fillId="0" borderId="9" xfId="0" applyBorder="1"/>
    <xf numFmtId="2" fontId="0" fillId="0" borderId="9" xfId="0" applyNumberFormat="1" applyBorder="1"/>
    <xf numFmtId="49" fontId="5" fillId="2" borderId="4" xfId="0" applyNumberFormat="1" applyFont="1" applyFill="1" applyBorder="1" applyAlignment="1" applyProtection="1">
      <alignment horizontal="right"/>
      <protection locked="0"/>
    </xf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2" fontId="0" fillId="2" borderId="6" xfId="0" applyNumberFormat="1" applyFill="1" applyBorder="1" applyAlignment="1">
      <alignment horizontal="right"/>
    </xf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9" fillId="0" borderId="0" xfId="0" applyFont="1"/>
    <xf numFmtId="0" fontId="0" fillId="0" borderId="10" xfId="0" applyBorder="1"/>
    <xf numFmtId="0" fontId="0" fillId="2" borderId="11" xfId="0" applyFill="1" applyBorder="1"/>
    <xf numFmtId="0" fontId="8" fillId="0" borderId="0" xfId="3" applyFill="1"/>
    <xf numFmtId="0" fontId="10" fillId="0" borderId="0" xfId="2" applyFont="1" applyFill="1" applyAlignment="1">
      <alignment horizontal="center"/>
    </xf>
    <xf numFmtId="0" fontId="0" fillId="0" borderId="12" xfId="0" applyBorder="1"/>
    <xf numFmtId="0" fontId="0" fillId="2" borderId="13" xfId="0" applyFill="1" applyBorder="1"/>
    <xf numFmtId="0" fontId="10" fillId="0" borderId="0" xfId="2" applyFont="1" applyFill="1"/>
    <xf numFmtId="0" fontId="11" fillId="0" borderId="0" xfId="2" applyFont="1" applyFill="1" applyAlignment="1">
      <alignment horizontal="center"/>
    </xf>
    <xf numFmtId="0" fontId="11" fillId="0" borderId="0" xfId="2" applyFont="1" applyFill="1"/>
    <xf numFmtId="2" fontId="0" fillId="0" borderId="13" xfId="0" applyNumberFormat="1" applyBorder="1"/>
    <xf numFmtId="164" fontId="0" fillId="0" borderId="13" xfId="0" applyNumberFormat="1" applyBorder="1"/>
    <xf numFmtId="0" fontId="0" fillId="0" borderId="14" xfId="0" applyBorder="1"/>
    <xf numFmtId="165" fontId="0" fillId="0" borderId="15" xfId="0" applyNumberForma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4">
    <cellStyle name="Explanatory Text" xfId="2" builtinId="53"/>
    <cellStyle name="Hyperlink" xfId="3" builtinId="8"/>
    <cellStyle name="Normal" xfId="0" builtinId="0"/>
    <cellStyle name="Normal 2" xfId="1" xr:uid="{D0971BAC-5A4A-41D5-9473-D9CC92EDF09A}"/>
  </cellStyles>
  <dxfs count="2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'footing.columns.backend'!$C$4:$C$8</c:f>
              <c:numCache>
                <c:formatCode>General</c:formatCode>
                <c:ptCount val="5"/>
                <c:pt idx="0">
                  <c:v>0.16021409551394714</c:v>
                </c:pt>
                <c:pt idx="1">
                  <c:v>-7.4709059682529833E-2</c:v>
                </c:pt>
                <c:pt idx="2">
                  <c:v>-0.16021409551394708</c:v>
                </c:pt>
                <c:pt idx="3">
                  <c:v>7.4709059682529819E-2</c:v>
                </c:pt>
                <c:pt idx="4">
                  <c:v>0.16021409551394714</c:v>
                </c:pt>
              </c:numCache>
            </c:numRef>
          </c:xVal>
          <c:yVal>
            <c:numRef>
              <c:f>'footing.columns.backend'!$D$4:$D$8</c:f>
              <c:numCache>
                <c:formatCode>General</c:formatCode>
                <c:ptCount val="5"/>
                <c:pt idx="0">
                  <c:v>7.4709059682529985E-2</c:v>
                </c:pt>
                <c:pt idx="1">
                  <c:v>0.16021409551394719</c:v>
                </c:pt>
                <c:pt idx="2">
                  <c:v>-7.470905968253011E-2</c:v>
                </c:pt>
                <c:pt idx="3">
                  <c:v>-0.16021409551394722</c:v>
                </c:pt>
                <c:pt idx="4">
                  <c:v>7.4709059682529985E-2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22-4A3C-9969-A042D3115CAA}"/>
            </c:ext>
          </c:extLst>
        </c:ser>
        <c:ser>
          <c:idx val="1"/>
          <c:order val="1"/>
          <c:tx>
            <c:v>11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'footing.columns.backend'!$F$4:$F$8</c:f>
              <c:numCache>
                <c:formatCode>General</c:formatCode>
                <c:ptCount val="5"/>
                <c:pt idx="0">
                  <c:v>1.6021409551394714</c:v>
                </c:pt>
                <c:pt idx="1">
                  <c:v>-0.74709059682529833</c:v>
                </c:pt>
                <c:pt idx="2">
                  <c:v>-1.6021409551394707</c:v>
                </c:pt>
                <c:pt idx="3">
                  <c:v>0.7470905968252981</c:v>
                </c:pt>
                <c:pt idx="4">
                  <c:v>1.6021409551394714</c:v>
                </c:pt>
              </c:numCache>
            </c:numRef>
          </c:xVal>
          <c:yVal>
            <c:numRef>
              <c:f>'footing.columns.backend'!$G$4:$G$8</c:f>
              <c:numCache>
                <c:formatCode>General</c:formatCode>
                <c:ptCount val="5"/>
                <c:pt idx="0">
                  <c:v>0.74709059682529977</c:v>
                </c:pt>
                <c:pt idx="1">
                  <c:v>1.6021409551394721</c:v>
                </c:pt>
                <c:pt idx="2">
                  <c:v>-0.7470905968253011</c:v>
                </c:pt>
                <c:pt idx="3">
                  <c:v>-1.6021409551394723</c:v>
                </c:pt>
                <c:pt idx="4">
                  <c:v>0.74709059682529977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22-4A3C-9969-A042D3115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409119"/>
        <c:axId val="2068414943"/>
      </c:scatterChart>
      <c:valAx>
        <c:axId val="2068409119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414943"/>
        <c:crosses val="autoZero"/>
        <c:crossBetween val="midCat"/>
        <c:majorUnit val="1"/>
        <c:minorUnit val="1"/>
      </c:valAx>
      <c:valAx>
        <c:axId val="2068414943"/>
        <c:scaling>
          <c:orientation val="minMax"/>
          <c:max val="3"/>
          <c:min val="-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840911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Parede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'footing.wall.backend'!$C$4:$C$8</c:f>
              <c:numCache>
                <c:formatCode>General</c:formatCode>
                <c:ptCount val="5"/>
                <c:pt idx="0">
                  <c:v>0.125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</c:numCache>
            </c:numRef>
          </c:xVal>
          <c:yVal>
            <c:numRef>
              <c:f>'footing.wall.backend'!$D$4:$D$8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-0.5</c:v>
                </c:pt>
                <c:pt idx="3">
                  <c:v>-0.5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A-463F-9212-D0D69A95268E}"/>
            </c:ext>
          </c:extLst>
        </c:ser>
        <c:ser>
          <c:idx val="1"/>
          <c:order val="1"/>
          <c:tx>
            <c:v>Sapata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'footing.wall.backend'!$F$4:$F$8</c:f>
              <c:numCache>
                <c:formatCode>General</c:formatCode>
                <c:ptCount val="5"/>
                <c:pt idx="0">
                  <c:v>1.5</c:v>
                </c:pt>
                <c:pt idx="1">
                  <c:v>-1.5</c:v>
                </c:pt>
                <c:pt idx="2">
                  <c:v>-1.5</c:v>
                </c:pt>
                <c:pt idx="3">
                  <c:v>1.5</c:v>
                </c:pt>
                <c:pt idx="4">
                  <c:v>1.5</c:v>
                </c:pt>
              </c:numCache>
            </c:numRef>
          </c:xVal>
          <c:yVal>
            <c:numRef>
              <c:f>'footing.wall.backend'!$G$4:$G$8</c:f>
              <c:numCache>
                <c:formatCode>General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-0.5</c:v>
                </c:pt>
                <c:pt idx="3">
                  <c:v>-0.5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3A-463F-9212-D0D69A952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025631"/>
        <c:axId val="602048095"/>
      </c:scatterChart>
      <c:valAx>
        <c:axId val="602025631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048095"/>
        <c:crosses val="autoZero"/>
        <c:crossBetween val="midCat"/>
      </c:valAx>
      <c:valAx>
        <c:axId val="602048095"/>
        <c:scaling>
          <c:orientation val="minMax"/>
          <c:max val="0.5"/>
          <c:min val="-0.5"/>
        </c:scaling>
        <c:delete val="1"/>
        <c:axPos val="l"/>
        <c:numFmt formatCode="General" sourceLinked="1"/>
        <c:majorTickMark val="none"/>
        <c:minorTickMark val="none"/>
        <c:tickLblPos val="nextTo"/>
        <c:crossAx val="60202563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auxiliar!$I$2:$I$6</c:f>
              <c:numCache>
                <c:formatCode>General</c:formatCode>
                <c:ptCount val="5"/>
                <c:pt idx="0">
                  <c:v>-8</c:v>
                </c:pt>
                <c:pt idx="1">
                  <c:v>8</c:v>
                </c:pt>
                <c:pt idx="2">
                  <c:v>8</c:v>
                </c:pt>
                <c:pt idx="3">
                  <c:v>-8</c:v>
                </c:pt>
                <c:pt idx="4">
                  <c:v>-8</c:v>
                </c:pt>
              </c:numCache>
            </c:numRef>
          </c:xVal>
          <c:yVal>
            <c:numRef>
              <c:f>auxiliar!$J$2:$J$6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A3-40B6-BD00-F25D32D697C8}"/>
            </c:ext>
          </c:extLst>
        </c:ser>
        <c:ser>
          <c:idx val="1"/>
          <c:order val="1"/>
          <c:tx>
            <c:v>Series2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auxiliar!$I$10:$I$14</c:f>
              <c:numCache>
                <c:formatCode>General</c:formatCode>
                <c:ptCount val="5"/>
                <c:pt idx="0">
                  <c:v>-3</c:v>
                </c:pt>
                <c:pt idx="1">
                  <c:v>3</c:v>
                </c:pt>
                <c:pt idx="2">
                  <c:v>3</c:v>
                </c:pt>
                <c:pt idx="3">
                  <c:v>-3</c:v>
                </c:pt>
                <c:pt idx="4">
                  <c:v>-3</c:v>
                </c:pt>
              </c:numCache>
            </c:numRef>
          </c:xVal>
          <c:yVal>
            <c:numRef>
              <c:f>auxiliar!$J$10:$J$14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20.5</c:v>
                </c:pt>
                <c:pt idx="3">
                  <c:v>20.5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A3-40B6-BD00-F25D32D69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118079"/>
        <c:axId val="1907902895"/>
      </c:scatterChart>
      <c:valAx>
        <c:axId val="1672118079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902895"/>
        <c:crosses val="autoZero"/>
        <c:crossBetween val="midCat"/>
        <c:majorUnit val="5"/>
        <c:minorUnit val="1"/>
      </c:valAx>
      <c:valAx>
        <c:axId val="1907902895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11807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auxiliar!$I$2:$I$6</c:f>
              <c:numCache>
                <c:formatCode>General</c:formatCode>
                <c:ptCount val="5"/>
                <c:pt idx="0">
                  <c:v>-8</c:v>
                </c:pt>
                <c:pt idx="1">
                  <c:v>8</c:v>
                </c:pt>
                <c:pt idx="2">
                  <c:v>8</c:v>
                </c:pt>
                <c:pt idx="3">
                  <c:v>-8</c:v>
                </c:pt>
                <c:pt idx="4">
                  <c:v>-8</c:v>
                </c:pt>
              </c:numCache>
            </c:numRef>
          </c:xVal>
          <c:yVal>
            <c:numRef>
              <c:f>auxiliar!$J$2:$J$6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12-45F4-AE35-D1F2ECA53454}"/>
            </c:ext>
          </c:extLst>
        </c:ser>
        <c:ser>
          <c:idx val="1"/>
          <c:order val="1"/>
          <c:tx>
            <c:v>Series2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auxiliar!$I$10:$I$14</c:f>
              <c:numCache>
                <c:formatCode>General</c:formatCode>
                <c:ptCount val="5"/>
                <c:pt idx="0">
                  <c:v>-3</c:v>
                </c:pt>
                <c:pt idx="1">
                  <c:v>3</c:v>
                </c:pt>
                <c:pt idx="2">
                  <c:v>3</c:v>
                </c:pt>
                <c:pt idx="3">
                  <c:v>-3</c:v>
                </c:pt>
                <c:pt idx="4">
                  <c:v>-3</c:v>
                </c:pt>
              </c:numCache>
            </c:numRef>
          </c:xVal>
          <c:yVal>
            <c:numRef>
              <c:f>auxiliar!$J$10:$J$14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20.5</c:v>
                </c:pt>
                <c:pt idx="3">
                  <c:v>20.5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12-45F4-AE35-D1F2ECA53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118079"/>
        <c:axId val="1907902895"/>
      </c:scatterChart>
      <c:valAx>
        <c:axId val="1672118079"/>
        <c:scaling>
          <c:orientation val="minMax"/>
          <c:max val="2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902895"/>
        <c:crosses val="autoZero"/>
        <c:crossBetween val="midCat"/>
        <c:majorUnit val="5"/>
        <c:minorUnit val="1"/>
      </c:valAx>
      <c:valAx>
        <c:axId val="1907902895"/>
        <c:scaling>
          <c:orientation val="minMax"/>
          <c:max val="3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11807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25400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 footings!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</xdr:colOff>
      <xdr:row>2</xdr:row>
      <xdr:rowOff>161674</xdr:rowOff>
    </xdr:from>
    <xdr:to>
      <xdr:col>14</xdr:col>
      <xdr:colOff>1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325895" y="457557"/>
          <a:ext cx="1621276" cy="4868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600" b="1" i="0"/>
            <a:t>Steps</a:t>
          </a:r>
          <a:r>
            <a:rPr lang="pt-PT" sz="600" b="1" i="0" baseline="0"/>
            <a:t>:</a:t>
          </a:r>
        </a:p>
        <a:p>
          <a:r>
            <a:rPr lang="pt-PT" sz="600" i="0"/>
            <a:t>1 - Select</a:t>
          </a:r>
          <a:r>
            <a:rPr lang="pt-PT" sz="600" i="0" baseline="0"/>
            <a:t> nodes;</a:t>
          </a:r>
        </a:p>
        <a:p>
          <a:r>
            <a:rPr lang="pt-PT" sz="600" i="0" baseline="0"/>
            <a:t>2 - Fill options regarding </a:t>
          </a:r>
          <a:r>
            <a:rPr lang="pt-PT" sz="600" i="1" baseline="0">
              <a:solidFill>
                <a:schemeClr val="accent1">
                  <a:lumMod val="60000"/>
                  <a:lumOff val="40000"/>
                </a:schemeClr>
              </a:solidFill>
            </a:rPr>
            <a:t>input</a:t>
          </a:r>
          <a:r>
            <a:rPr lang="pt-PT" sz="600" i="0" baseline="0"/>
            <a:t>;</a:t>
          </a:r>
          <a:br>
            <a:rPr lang="pt-PT" sz="600" i="0" baseline="0"/>
          </a:br>
          <a:r>
            <a:rPr lang="pt-PT" sz="600" i="0" baseline="0"/>
            <a:t>3 - Press "Make footings!"</a:t>
          </a:r>
        </a:p>
      </xdr:txBody>
    </xdr:sp>
    <xdr:clientData/>
  </xdr:twoCellAnchor>
  <xdr:twoCellAnchor>
    <xdr:from>
      <xdr:col>3</xdr:col>
      <xdr:colOff>115302</xdr:colOff>
      <xdr:row>1</xdr:row>
      <xdr:rowOff>2916</xdr:rowOff>
    </xdr:from>
    <xdr:to>
      <xdr:col>9</xdr:col>
      <xdr:colOff>0</xdr:colOff>
      <xdr:row>12</xdr:row>
      <xdr:rowOff>190500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63500</xdr:rowOff>
        </xdr:from>
        <xdr:to>
          <xdr:col>3</xdr:col>
          <xdr:colOff>0</xdr:colOff>
          <xdr:row>9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 footings!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</xdr:colOff>
      <xdr:row>2</xdr:row>
      <xdr:rowOff>23812</xdr:rowOff>
    </xdr:from>
    <xdr:to>
      <xdr:col>14</xdr:col>
      <xdr:colOff>607978</xdr:colOff>
      <xdr:row>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316683" y="318221"/>
          <a:ext cx="2162284" cy="6515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600" b="1" i="0"/>
            <a:t>Steps:</a:t>
          </a:r>
          <a:endParaRPr lang="pt-PT" sz="600" b="1" i="0" baseline="0"/>
        </a:p>
        <a:p>
          <a:r>
            <a:rPr lang="pt-PT" sz="600" i="0"/>
            <a:t>1 - Select</a:t>
          </a:r>
          <a:r>
            <a:rPr lang="pt-PT" sz="600" i="0" baseline="0"/>
            <a:t> walls;</a:t>
          </a:r>
        </a:p>
        <a:p>
          <a:r>
            <a:rPr lang="pt-PT" sz="600" i="0" baseline="0"/>
            <a:t>2 - Fill options regarding </a:t>
          </a:r>
          <a:r>
            <a:rPr lang="pt-PT" sz="600" i="1" baseline="0">
              <a:solidFill>
                <a:schemeClr val="accent1">
                  <a:lumMod val="60000"/>
                  <a:lumOff val="40000"/>
                </a:schemeClr>
              </a:solidFill>
            </a:rPr>
            <a:t>input</a:t>
          </a:r>
          <a:r>
            <a:rPr lang="pt-PT" sz="600" i="0" baseline="0"/>
            <a:t>;</a:t>
          </a:r>
          <a:br>
            <a:rPr lang="pt-PT" sz="600" i="0" baseline="0"/>
          </a:br>
          <a:r>
            <a:rPr lang="pt-PT" sz="600" i="0" baseline="0"/>
            <a:t>3 - Press "Make footings!".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8</xdr:col>
      <xdr:colOff>607218</xdr:colOff>
      <xdr:row>9</xdr:row>
      <xdr:rowOff>190499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110403</xdr:rowOff>
    </xdr:from>
    <xdr:to>
      <xdr:col>9</xdr:col>
      <xdr:colOff>1613</xdr:colOff>
      <xdr:row>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39566" y="386127"/>
          <a:ext cx="2162284" cy="6515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600" b="1" i="0"/>
            <a:t>Steps:</a:t>
          </a:r>
          <a:endParaRPr lang="pt-PT" sz="600" b="1" i="0" baseline="0"/>
        </a:p>
        <a:p>
          <a:r>
            <a:rPr lang="pt-PT" sz="600" i="0"/>
            <a:t>1 - Select</a:t>
          </a:r>
          <a:r>
            <a:rPr lang="pt-PT" sz="600" i="0" baseline="0"/>
            <a:t> walls;</a:t>
          </a:r>
        </a:p>
        <a:p>
          <a:r>
            <a:rPr lang="pt-PT" sz="600" i="0" baseline="0"/>
            <a:t>2 - Fill options regarding </a:t>
          </a:r>
          <a:r>
            <a:rPr lang="pt-PT" sz="600" i="1" baseline="0">
              <a:solidFill>
                <a:schemeClr val="accent1">
                  <a:lumMod val="60000"/>
                  <a:lumOff val="40000"/>
                </a:schemeClr>
              </a:solidFill>
            </a:rPr>
            <a:t>input</a:t>
          </a:r>
          <a:r>
            <a:rPr lang="pt-PT" sz="600" i="0" baseline="0"/>
            <a:t>;</a:t>
          </a:r>
          <a:br>
            <a:rPr lang="pt-PT" sz="600" i="0" baseline="0"/>
          </a:br>
          <a:r>
            <a:rPr lang="pt-PT" sz="600" i="0" baseline="0"/>
            <a:t>3 - Press "Make footing!".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 footing!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</xdr:rowOff>
    </xdr:from>
    <xdr:to>
      <xdr:col>12</xdr:col>
      <xdr:colOff>0</xdr:colOff>
      <xdr:row>11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595313</xdr:colOff>
      <xdr:row>8</xdr:row>
      <xdr:rowOff>20605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643313" cy="1544605"/>
        </a:xfrm>
        <a:prstGeom prst="rect">
          <a:avLst/>
        </a:prstGeom>
      </xdr:spPr>
    </xdr:pic>
    <xdr:clientData/>
  </xdr:twoCellAnchor>
  <xdr:twoCellAnchor>
    <xdr:from>
      <xdr:col>10</xdr:col>
      <xdr:colOff>285750</xdr:colOff>
      <xdr:row>1</xdr:row>
      <xdr:rowOff>0</xdr:rowOff>
    </xdr:from>
    <xdr:to>
      <xdr:col>18</xdr:col>
      <xdr:colOff>0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forums.autodesk.com/t5/robot-structural-analysis-forum/robot-vba-api-elastic-support/m-p/5065056" TargetMode="External"/><Relationship Id="rId1" Type="http://schemas.openxmlformats.org/officeDocument/2006/relationships/hyperlink" Target="../../../../../../../../:b:/g/personal/nuno_teixeira_casais_pt/ERFolA-bxFBAgRYcTpK9K1MBTS10jyOKW8hd_zFOKL7UmA?e=dKbr8I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28100-DAA1-4723-98D9-C7FAF5DD1B4D}">
  <sheetPr codeName="Sheet1">
    <tabColor rgb="FF92D050"/>
  </sheetPr>
  <dimension ref="A1:L15"/>
  <sheetViews>
    <sheetView showGridLines="0" zoomScale="160" zoomScaleNormal="160" workbookViewId="0">
      <selection activeCell="C2" sqref="C2"/>
    </sheetView>
  </sheetViews>
  <sheetFormatPr defaultColWidth="9.36328125" defaultRowHeight="14.5" x14ac:dyDescent="0.35"/>
  <cols>
    <col min="1" max="1" width="1.6328125" style="2" customWidth="1"/>
    <col min="2" max="2" width="11.36328125" style="2" bestFit="1" customWidth="1"/>
    <col min="3" max="3" width="15.36328125" style="2" customWidth="1"/>
    <col min="4" max="4" width="1.6328125" style="2" customWidth="1"/>
    <col min="5" max="9" width="9.36328125" style="2"/>
    <col min="10" max="11" width="1.6328125" style="2" customWidth="1"/>
    <col min="12" max="12" width="5.6328125" style="2" customWidth="1"/>
    <col min="13" max="16384" width="9.36328125" style="2"/>
  </cols>
  <sheetData>
    <row r="1" spans="1:12" ht="5.15" customHeight="1" thickBot="1" x14ac:dyDescent="0.4">
      <c r="A1"/>
      <c r="B1"/>
      <c r="C1"/>
      <c r="D1"/>
      <c r="E1"/>
      <c r="F1"/>
      <c r="G1"/>
      <c r="H1"/>
      <c r="I1"/>
      <c r="J1"/>
    </row>
    <row r="2" spans="1:12" ht="17.5" thickBot="1" x14ac:dyDescent="0.5">
      <c r="A2"/>
      <c r="B2" s="11" t="s">
        <v>4</v>
      </c>
      <c r="C2" s="1">
        <v>2.5</v>
      </c>
      <c r="D2"/>
      <c r="E2"/>
      <c r="F2"/>
      <c r="G2"/>
      <c r="H2"/>
      <c r="I2"/>
      <c r="J2"/>
      <c r="L2" s="5" t="s">
        <v>3</v>
      </c>
    </row>
    <row r="3" spans="1:12" ht="17" x14ac:dyDescent="0.45">
      <c r="A3"/>
      <c r="B3" s="7" t="s">
        <v>9</v>
      </c>
      <c r="C3" s="4">
        <v>2.5</v>
      </c>
      <c r="D3"/>
      <c r="E3"/>
      <c r="F3"/>
      <c r="G3"/>
      <c r="H3"/>
      <c r="I3"/>
      <c r="J3"/>
    </row>
    <row r="4" spans="1:12" x14ac:dyDescent="0.35">
      <c r="A4"/>
      <c r="B4" s="7" t="s">
        <v>0</v>
      </c>
      <c r="C4" s="4">
        <v>0.5</v>
      </c>
      <c r="D4"/>
      <c r="E4"/>
      <c r="F4"/>
      <c r="G4"/>
      <c r="H4"/>
      <c r="I4"/>
      <c r="J4"/>
    </row>
    <row r="5" spans="1:12" x14ac:dyDescent="0.35">
      <c r="A5"/>
      <c r="B5" s="7" t="s">
        <v>20</v>
      </c>
      <c r="C5" s="6" t="s">
        <v>44</v>
      </c>
      <c r="D5"/>
      <c r="E5"/>
      <c r="F5"/>
      <c r="G5"/>
      <c r="H5"/>
      <c r="I5"/>
      <c r="J5"/>
    </row>
    <row r="6" spans="1:12" ht="17" x14ac:dyDescent="0.45">
      <c r="A6"/>
      <c r="B6" s="7" t="s">
        <v>10</v>
      </c>
      <c r="C6" s="9">
        <v>0</v>
      </c>
      <c r="D6"/>
      <c r="E6"/>
      <c r="F6"/>
      <c r="G6"/>
      <c r="H6"/>
      <c r="I6"/>
      <c r="J6"/>
    </row>
    <row r="7" spans="1:12" ht="17" x14ac:dyDescent="0.45">
      <c r="A7"/>
      <c r="B7" s="7" t="s">
        <v>11</v>
      </c>
      <c r="C7" s="9">
        <v>0</v>
      </c>
      <c r="D7"/>
      <c r="E7"/>
      <c r="F7"/>
      <c r="G7"/>
      <c r="H7"/>
      <c r="I7"/>
      <c r="J7"/>
    </row>
    <row r="8" spans="1:12" ht="15" thickBot="1" x14ac:dyDescent="0.4">
      <c r="A8"/>
      <c r="B8" s="3" t="s">
        <v>7</v>
      </c>
      <c r="C8" s="10">
        <v>340</v>
      </c>
      <c r="D8"/>
      <c r="E8"/>
      <c r="F8"/>
      <c r="G8"/>
      <c r="H8"/>
      <c r="I8"/>
      <c r="J8"/>
    </row>
    <row r="9" spans="1:12" ht="5.15" customHeight="1" x14ac:dyDescent="0.35">
      <c r="A9"/>
      <c r="B9"/>
      <c r="C9"/>
      <c r="D9"/>
      <c r="E9"/>
      <c r="F9"/>
      <c r="G9"/>
      <c r="H9"/>
      <c r="I9"/>
      <c r="J9"/>
    </row>
    <row r="10" spans="1:12" x14ac:dyDescent="0.35">
      <c r="A10"/>
      <c r="B10"/>
      <c r="C10"/>
      <c r="D10"/>
      <c r="E10"/>
      <c r="F10"/>
      <c r="G10"/>
      <c r="H10"/>
      <c r="I10"/>
      <c r="J10"/>
    </row>
    <row r="11" spans="1:12" x14ac:dyDescent="0.35">
      <c r="A11"/>
      <c r="B11"/>
      <c r="C11"/>
      <c r="D11"/>
      <c r="E11"/>
      <c r="F11"/>
      <c r="G11"/>
      <c r="H11"/>
      <c r="I11"/>
      <c r="J11"/>
    </row>
    <row r="12" spans="1:12" x14ac:dyDescent="0.35">
      <c r="A12"/>
      <c r="B12"/>
      <c r="C12"/>
      <c r="D12"/>
      <c r="E12"/>
      <c r="F12"/>
      <c r="G12"/>
      <c r="H12"/>
      <c r="I12"/>
      <c r="J12"/>
    </row>
    <row r="13" spans="1:12" x14ac:dyDescent="0.35">
      <c r="A13"/>
      <c r="B13"/>
      <c r="C13"/>
      <c r="D13"/>
      <c r="E13"/>
      <c r="F13"/>
      <c r="G13"/>
      <c r="H13"/>
      <c r="I13"/>
      <c r="J13"/>
    </row>
    <row r="14" spans="1:12" ht="5.15" customHeight="1" x14ac:dyDescent="0.35">
      <c r="A14"/>
      <c r="B14"/>
      <c r="C14"/>
      <c r="D14"/>
      <c r="E14"/>
      <c r="F14"/>
      <c r="G14"/>
      <c r="H14"/>
      <c r="I14"/>
      <c r="J14"/>
    </row>
    <row r="15" spans="1:12" ht="5.15" customHeight="1" x14ac:dyDescent="0.35"/>
  </sheetData>
  <dataConsolidate/>
  <dataValidations count="3">
    <dataValidation type="decimal" operator="greaterThan" allowBlank="1" showInputMessage="1" showErrorMessage="1" sqref="C2:C4" xr:uid="{D94A9923-23EE-4D2C-BB34-43E0DE941CF1}">
      <formula1>0</formula1>
    </dataValidation>
    <dataValidation type="decimal" operator="lessThanOrEqual" allowBlank="1" showInputMessage="1" showErrorMessage="1" sqref="C6:C7" xr:uid="{DDF7357C-0D1B-406E-A9B8-2C892FB1635E}">
      <formula1>C2/2</formula1>
    </dataValidation>
    <dataValidation type="decimal" operator="greaterThanOrEqual" allowBlank="1" showInputMessage="1" showErrorMessage="1" sqref="C8" xr:uid="{90475186-1801-496A-A2FD-AC176759407E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MainCreateColumnFootings">
                <anchor moveWithCells="1" sizeWithCells="1">
                  <from>
                    <xdr:col>1</xdr:col>
                    <xdr:colOff>0</xdr:colOff>
                    <xdr:row>9</xdr:row>
                    <xdr:rowOff>25400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D327-B4E4-40DD-8B91-E62834AA2027}">
  <sheetPr codeName="Sheet3">
    <tabColor rgb="FF92D050"/>
  </sheetPr>
  <dimension ref="A1:L12"/>
  <sheetViews>
    <sheetView showGridLines="0" zoomScale="160" zoomScaleNormal="160" workbookViewId="0">
      <selection activeCell="C2" sqref="C2"/>
    </sheetView>
  </sheetViews>
  <sheetFormatPr defaultColWidth="9.36328125" defaultRowHeight="14.5" x14ac:dyDescent="0.35"/>
  <cols>
    <col min="1" max="1" width="1.6328125" style="2" customWidth="1"/>
    <col min="2" max="2" width="11.36328125" style="2" bestFit="1" customWidth="1"/>
    <col min="3" max="3" width="15.36328125" style="2" customWidth="1"/>
    <col min="4" max="4" width="1.6328125" style="2" customWidth="1"/>
    <col min="5" max="9" width="9.36328125" style="2"/>
    <col min="10" max="11" width="1.6328125" style="2" customWidth="1"/>
    <col min="12" max="12" width="4.6328125" style="2" bestFit="1" customWidth="1"/>
    <col min="13" max="16384" width="9.36328125" style="2"/>
  </cols>
  <sheetData>
    <row r="1" spans="1:12" ht="5.15" customHeight="1" thickBot="1" x14ac:dyDescent="0.4">
      <c r="A1"/>
      <c r="B1"/>
      <c r="C1"/>
      <c r="D1"/>
      <c r="E1"/>
      <c r="F1"/>
      <c r="G1"/>
      <c r="H1"/>
      <c r="I1"/>
      <c r="J1"/>
    </row>
    <row r="2" spans="1:12" ht="17.5" thickBot="1" x14ac:dyDescent="0.5">
      <c r="A2"/>
      <c r="B2" s="11" t="s">
        <v>4</v>
      </c>
      <c r="C2" s="1">
        <v>3</v>
      </c>
      <c r="D2"/>
      <c r="E2"/>
      <c r="F2"/>
      <c r="G2"/>
      <c r="H2"/>
      <c r="I2"/>
      <c r="J2"/>
      <c r="L2" s="5" t="s">
        <v>3</v>
      </c>
    </row>
    <row r="3" spans="1:12" x14ac:dyDescent="0.35">
      <c r="A3"/>
      <c r="B3" s="7" t="s">
        <v>0</v>
      </c>
      <c r="C3" s="4">
        <v>0.7</v>
      </c>
      <c r="D3"/>
      <c r="E3"/>
      <c r="F3"/>
      <c r="G3"/>
      <c r="H3"/>
      <c r="I3"/>
      <c r="J3"/>
    </row>
    <row r="4" spans="1:12" ht="15" thickBot="1" x14ac:dyDescent="0.4">
      <c r="A4"/>
      <c r="B4" s="8" t="s">
        <v>20</v>
      </c>
      <c r="C4" s="17" t="s">
        <v>42</v>
      </c>
      <c r="D4"/>
      <c r="E4"/>
      <c r="F4"/>
      <c r="G4"/>
      <c r="H4"/>
      <c r="I4"/>
      <c r="J4"/>
    </row>
    <row r="5" spans="1:12" ht="5.15" customHeight="1" x14ac:dyDescent="0.35">
      <c r="A5"/>
      <c r="B5"/>
      <c r="C5"/>
      <c r="D5"/>
      <c r="E5"/>
      <c r="F5"/>
      <c r="G5"/>
      <c r="H5"/>
      <c r="I5"/>
      <c r="J5"/>
    </row>
    <row r="6" spans="1:12" x14ac:dyDescent="0.35">
      <c r="A6"/>
      <c r="B6"/>
      <c r="C6"/>
      <c r="D6"/>
      <c r="E6"/>
      <c r="F6"/>
      <c r="G6"/>
      <c r="H6"/>
      <c r="I6"/>
      <c r="J6"/>
    </row>
    <row r="7" spans="1:12" x14ac:dyDescent="0.35">
      <c r="A7"/>
      <c r="B7"/>
      <c r="C7"/>
      <c r="D7"/>
      <c r="E7"/>
      <c r="F7"/>
      <c r="G7"/>
      <c r="H7"/>
      <c r="I7"/>
      <c r="J7"/>
    </row>
    <row r="8" spans="1:12" x14ac:dyDescent="0.35">
      <c r="A8"/>
      <c r="B8"/>
      <c r="C8"/>
      <c r="D8"/>
      <c r="E8"/>
      <c r="F8"/>
      <c r="G8"/>
      <c r="H8"/>
      <c r="I8"/>
      <c r="J8"/>
    </row>
    <row r="9" spans="1:12" x14ac:dyDescent="0.35">
      <c r="A9"/>
      <c r="B9"/>
      <c r="C9"/>
      <c r="D9"/>
      <c r="E9"/>
      <c r="F9"/>
      <c r="G9"/>
      <c r="H9"/>
      <c r="I9"/>
      <c r="J9"/>
    </row>
    <row r="10" spans="1:12" x14ac:dyDescent="0.35">
      <c r="A10"/>
      <c r="B10"/>
      <c r="C10"/>
      <c r="D10"/>
      <c r="E10"/>
      <c r="F10"/>
      <c r="G10"/>
      <c r="H10"/>
      <c r="I10"/>
      <c r="J10"/>
    </row>
    <row r="11" spans="1:12" ht="5.15" customHeight="1" x14ac:dyDescent="0.35">
      <c r="A11"/>
      <c r="B11"/>
      <c r="C11"/>
      <c r="D11"/>
      <c r="E11"/>
      <c r="F11"/>
      <c r="G11"/>
      <c r="H11"/>
      <c r="I11"/>
      <c r="J11"/>
    </row>
    <row r="12" spans="1:12" ht="5.15" customHeight="1" x14ac:dyDescent="0.35"/>
  </sheetData>
  <dataConsolidate/>
  <dataValidations count="1">
    <dataValidation type="decimal" operator="greaterThan" allowBlank="1" showInputMessage="1" showErrorMessage="1" sqref="C2:C3" xr:uid="{5E921505-2461-462E-B9F0-BBF223E5B4B1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eet3.MainCreateWallFootings">
                <anchor moveWithCells="1" sizeWithCells="1">
                  <from>
                    <xdr:col>1</xdr:col>
                    <xdr:colOff>0</xdr:colOff>
                    <xdr:row>4</xdr:row>
                    <xdr:rowOff>63500</xdr:rowOff>
                  </from>
                  <to>
                    <xdr:col>3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ED88-632D-40BE-AFA4-107B3017292E}">
  <sheetPr codeName="Sheet5">
    <tabColor rgb="FF92D050"/>
  </sheetPr>
  <dimension ref="A1:F11"/>
  <sheetViews>
    <sheetView showGridLines="0" tabSelected="1" zoomScale="160" zoomScaleNormal="160" workbookViewId="0">
      <selection activeCell="C2" sqref="C2"/>
    </sheetView>
  </sheetViews>
  <sheetFormatPr defaultColWidth="9.08984375" defaultRowHeight="14.5" x14ac:dyDescent="0.35"/>
  <cols>
    <col min="1" max="1" width="1.6328125" style="2" customWidth="1"/>
    <col min="2" max="2" width="9.08984375" style="2"/>
    <col min="3" max="3" width="11.6328125" style="2" customWidth="1"/>
    <col min="4" max="5" width="1.6328125" style="2" customWidth="1"/>
    <col min="6" max="6" width="4.90625" style="2" bestFit="1" customWidth="1"/>
    <col min="7" max="16384" width="9.08984375" style="2"/>
  </cols>
  <sheetData>
    <row r="1" spans="1:6" ht="5.15" customHeight="1" thickBot="1" x14ac:dyDescent="0.4">
      <c r="A1"/>
      <c r="B1"/>
      <c r="C1"/>
      <c r="D1"/>
    </row>
    <row r="2" spans="1:6" ht="15" thickBot="1" x14ac:dyDescent="0.4">
      <c r="A2"/>
      <c r="B2" s="21" t="s">
        <v>26</v>
      </c>
      <c r="C2" s="18" t="s">
        <v>43</v>
      </c>
      <c r="D2"/>
      <c r="F2" s="5" t="s">
        <v>3</v>
      </c>
    </row>
    <row r="3" spans="1:6" x14ac:dyDescent="0.35">
      <c r="A3"/>
      <c r="B3" s="22" t="s">
        <v>21</v>
      </c>
      <c r="C3" s="20">
        <v>2.5</v>
      </c>
      <c r="D3"/>
    </row>
    <row r="4" spans="1:6" x14ac:dyDescent="0.35">
      <c r="A4"/>
      <c r="B4" s="22" t="s">
        <v>24</v>
      </c>
      <c r="C4" s="20">
        <v>5</v>
      </c>
      <c r="D4"/>
    </row>
    <row r="5" spans="1:6" x14ac:dyDescent="0.35">
      <c r="A5"/>
      <c r="B5" s="22" t="s">
        <v>25</v>
      </c>
      <c r="C5" s="20">
        <v>1.5</v>
      </c>
      <c r="D5"/>
    </row>
    <row r="6" spans="1:6" x14ac:dyDescent="0.35">
      <c r="A6"/>
      <c r="B6" s="22" t="s">
        <v>22</v>
      </c>
      <c r="C6" s="20">
        <v>1</v>
      </c>
      <c r="D6"/>
    </row>
    <row r="7" spans="1:6" ht="15" thickBot="1" x14ac:dyDescent="0.4">
      <c r="A7"/>
      <c r="B7" s="23" t="s">
        <v>23</v>
      </c>
      <c r="C7" s="19" t="s">
        <v>41</v>
      </c>
      <c r="D7"/>
    </row>
    <row r="8" spans="1:6" ht="5.15" customHeight="1" x14ac:dyDescent="0.35">
      <c r="A8"/>
      <c r="B8"/>
      <c r="C8"/>
      <c r="D8"/>
    </row>
    <row r="9" spans="1:6" x14ac:dyDescent="0.35">
      <c r="A9"/>
      <c r="B9"/>
      <c r="C9"/>
      <c r="D9"/>
    </row>
    <row r="10" spans="1:6" x14ac:dyDescent="0.35">
      <c r="A10"/>
      <c r="B10"/>
      <c r="C10"/>
      <c r="D10"/>
    </row>
    <row r="11" spans="1:6" ht="5.15" customHeight="1" x14ac:dyDescent="0.35">
      <c r="A11"/>
      <c r="B11"/>
      <c r="C11"/>
      <c r="D11"/>
    </row>
  </sheetData>
  <conditionalFormatting sqref="B3:C4">
    <cfRule type="expression" dxfId="1" priority="2">
      <formula>$C$2="Offset"</formula>
    </cfRule>
  </conditionalFormatting>
  <conditionalFormatting sqref="B5:C5">
    <cfRule type="expression" dxfId="0" priority="1">
      <formula>$C$2="Dimensions"</formula>
    </cfRule>
  </conditionalFormatting>
  <dataValidations count="1">
    <dataValidation type="list" allowBlank="1" showInputMessage="1" showErrorMessage="1" sqref="C2" xr:uid="{90AD2520-3CAA-4887-A18B-524FF1295E6E}">
      <formula1>"Dimensions,Offset"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 macro="[0]!Sheet5.MainCreateSlabFooting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5F58-B132-4707-BADE-334DC3C621C7}">
  <sheetPr codeName="Sheet7"/>
  <dimension ref="B1:AB30"/>
  <sheetViews>
    <sheetView showGridLines="0" zoomScale="130" zoomScaleNormal="130" workbookViewId="0">
      <selection activeCell="I17" sqref="I17"/>
    </sheetView>
  </sheetViews>
  <sheetFormatPr defaultRowHeight="14.5" x14ac:dyDescent="0.35"/>
  <cols>
    <col min="1" max="1" width="1.6328125" customWidth="1"/>
    <col min="2" max="2" width="17" bestFit="1" customWidth="1"/>
    <col min="3" max="3" width="10.36328125" customWidth="1"/>
    <col min="4" max="4" width="1.6328125" customWidth="1"/>
    <col min="13" max="13" width="1.6328125" customWidth="1"/>
    <col min="14" max="14" width="7" bestFit="1" customWidth="1"/>
    <col min="15" max="15" width="5" style="24" bestFit="1" customWidth="1"/>
    <col min="16" max="16" width="5.90625" style="24" bestFit="1" customWidth="1"/>
    <col min="17" max="17" width="6.6328125" style="24" bestFit="1" customWidth="1"/>
    <col min="18" max="18" width="5.90625" style="24" bestFit="1" customWidth="1"/>
    <col min="19" max="19" width="6.6328125" style="24" bestFit="1" customWidth="1"/>
    <col min="20" max="20" width="5.90625" style="24" bestFit="1" customWidth="1"/>
    <col min="21" max="21" width="6.6328125" style="24" bestFit="1" customWidth="1"/>
    <col min="22" max="22" width="5.90625" style="24" bestFit="1" customWidth="1"/>
    <col min="23" max="23" width="7.54296875" style="24" bestFit="1" customWidth="1"/>
    <col min="24" max="24" width="6.6328125" style="24" bestFit="1" customWidth="1"/>
    <col min="25" max="25" width="7.54296875" style="24" bestFit="1" customWidth="1"/>
    <col min="26" max="26" width="5.90625" style="24" bestFit="1" customWidth="1"/>
    <col min="27" max="27" width="6.6328125" style="24" bestFit="1" customWidth="1"/>
    <col min="28" max="28" width="5.90625" style="24" bestFit="1" customWidth="1"/>
  </cols>
  <sheetData>
    <row r="1" spans="2:28" ht="5.15" customHeight="1" thickBot="1" x14ac:dyDescent="0.4"/>
    <row r="2" spans="2:28" x14ac:dyDescent="0.35">
      <c r="B2" s="25" t="s">
        <v>27</v>
      </c>
      <c r="C2" s="26">
        <v>10000</v>
      </c>
      <c r="N2" s="27" t="s">
        <v>28</v>
      </c>
      <c r="O2" s="28" t="s">
        <v>29</v>
      </c>
      <c r="P2" s="28" t="s">
        <v>30</v>
      </c>
      <c r="Q2" s="28" t="s">
        <v>30</v>
      </c>
      <c r="R2" s="28" t="s">
        <v>30</v>
      </c>
      <c r="S2" s="28" t="s">
        <v>30</v>
      </c>
      <c r="T2" s="28" t="s">
        <v>30</v>
      </c>
      <c r="U2" s="28" t="s">
        <v>30</v>
      </c>
      <c r="V2" s="28" t="s">
        <v>30</v>
      </c>
      <c r="W2" s="28" t="s">
        <v>30</v>
      </c>
      <c r="X2" s="28" t="s">
        <v>30</v>
      </c>
      <c r="Y2" s="28" t="s">
        <v>30</v>
      </c>
      <c r="Z2" s="28" t="s">
        <v>30</v>
      </c>
      <c r="AA2" s="28" t="s">
        <v>30</v>
      </c>
      <c r="AB2" s="28" t="s">
        <v>30</v>
      </c>
    </row>
    <row r="3" spans="2:28" x14ac:dyDescent="0.35">
      <c r="B3" s="29" t="s">
        <v>31</v>
      </c>
      <c r="C3" s="30">
        <v>6</v>
      </c>
      <c r="N3" s="27" t="s">
        <v>32</v>
      </c>
      <c r="O3" s="31"/>
      <c r="P3" s="31">
        <v>1</v>
      </c>
      <c r="Q3" s="31">
        <f>(R3-P3)/2+P3</f>
        <v>1.25</v>
      </c>
      <c r="R3" s="31">
        <v>1.5</v>
      </c>
      <c r="S3" s="31">
        <f>(T3-R3)/2+R3</f>
        <v>1.75</v>
      </c>
      <c r="T3" s="31">
        <v>2</v>
      </c>
      <c r="U3" s="31">
        <f>(V3-T3)/2+T3</f>
        <v>2.5</v>
      </c>
      <c r="V3" s="31">
        <v>3</v>
      </c>
      <c r="W3" s="31">
        <f>(X3-V3)/2+V3</f>
        <v>3.5</v>
      </c>
      <c r="X3" s="31">
        <f>(Z3-V3)/2+V3</f>
        <v>4</v>
      </c>
      <c r="Y3" s="31">
        <f>(Z3-X3)/2+X3</f>
        <v>4.5</v>
      </c>
      <c r="Z3" s="31">
        <v>5</v>
      </c>
      <c r="AA3" s="31">
        <f>(AB3-Z3)/2+Z3</f>
        <v>5</v>
      </c>
      <c r="AB3" s="31">
        <f>C8</f>
        <v>5</v>
      </c>
    </row>
    <row r="4" spans="2:28" x14ac:dyDescent="0.35">
      <c r="B4" s="29" t="s">
        <v>33</v>
      </c>
      <c r="C4" s="30">
        <v>5</v>
      </c>
      <c r="O4" s="28">
        <v>0</v>
      </c>
      <c r="P4" s="32">
        <v>0</v>
      </c>
      <c r="Q4" s="33">
        <f t="shared" ref="Q4:Q24" si="0">(R4-P4)/2+P4</f>
        <v>0</v>
      </c>
      <c r="R4" s="32">
        <v>0</v>
      </c>
      <c r="S4" s="33">
        <f t="shared" ref="S4:S24" si="1">(T4-R4)/2+R4</f>
        <v>0</v>
      </c>
      <c r="T4" s="32">
        <v>0</v>
      </c>
      <c r="U4" s="33">
        <f t="shared" ref="U4:U24" si="2">(V4-T4)/2+T4</f>
        <v>0</v>
      </c>
      <c r="V4" s="32">
        <v>0</v>
      </c>
      <c r="W4" s="33">
        <f t="shared" ref="W4:W24" si="3">(X4-V4)/2+V4</f>
        <v>0</v>
      </c>
      <c r="X4" s="33">
        <f t="shared" ref="X4:X24" si="4">(Z4-V4)/2+V4</f>
        <v>0</v>
      </c>
      <c r="Y4" s="33">
        <f t="shared" ref="Y4:Y24" si="5">(Z4-X4)/2+X4</f>
        <v>0</v>
      </c>
      <c r="Z4" s="32">
        <v>0</v>
      </c>
      <c r="AA4" s="33">
        <f t="shared" ref="AA4:AA24" si="6">(AB4-Z4)/2+Z4</f>
        <v>0</v>
      </c>
      <c r="AB4" s="32">
        <v>0</v>
      </c>
    </row>
    <row r="5" spans="2:28" x14ac:dyDescent="0.35">
      <c r="B5" s="29" t="s">
        <v>34</v>
      </c>
      <c r="C5" s="30">
        <v>20</v>
      </c>
      <c r="O5" s="28">
        <v>0.25</v>
      </c>
      <c r="P5" s="32">
        <f t="shared" ref="P5:AB5" si="7">(P6-P4)/2+P4</f>
        <v>0.16</v>
      </c>
      <c r="Q5" s="33">
        <f t="shared" si="0"/>
        <v>0.16</v>
      </c>
      <c r="R5" s="32">
        <f t="shared" si="7"/>
        <v>0.16</v>
      </c>
      <c r="S5" s="33">
        <f t="shared" si="1"/>
        <v>0.16500000000000001</v>
      </c>
      <c r="T5" s="32">
        <f t="shared" si="7"/>
        <v>0.17</v>
      </c>
      <c r="U5" s="33">
        <f t="shared" si="2"/>
        <v>0.17</v>
      </c>
      <c r="V5" s="32">
        <f t="shared" si="7"/>
        <v>0.17</v>
      </c>
      <c r="W5" s="33">
        <f t="shared" si="3"/>
        <v>0.17125000000000001</v>
      </c>
      <c r="X5" s="33">
        <f t="shared" si="4"/>
        <v>0.17249999999999999</v>
      </c>
      <c r="Y5" s="33">
        <f t="shared" si="5"/>
        <v>0.17374999999999999</v>
      </c>
      <c r="Z5" s="32">
        <f t="shared" si="7"/>
        <v>0.17499999999999999</v>
      </c>
      <c r="AA5" s="33">
        <f t="shared" si="6"/>
        <v>0.17749999999999999</v>
      </c>
      <c r="AB5" s="32">
        <f t="shared" si="7"/>
        <v>0.18</v>
      </c>
    </row>
    <row r="6" spans="2:28" x14ac:dyDescent="0.35">
      <c r="B6" s="29" t="s">
        <v>29</v>
      </c>
      <c r="C6" s="34">
        <f>C5/C3</f>
        <v>3.3333333333333335</v>
      </c>
      <c r="O6" s="28">
        <v>0.5</v>
      </c>
      <c r="P6" s="32">
        <v>0.32</v>
      </c>
      <c r="Q6" s="33">
        <f t="shared" si="0"/>
        <v>0.32</v>
      </c>
      <c r="R6" s="32">
        <v>0.32</v>
      </c>
      <c r="S6" s="33">
        <f t="shared" si="1"/>
        <v>0.33</v>
      </c>
      <c r="T6" s="32">
        <v>0.34</v>
      </c>
      <c r="U6" s="33">
        <f t="shared" si="2"/>
        <v>0.34</v>
      </c>
      <c r="V6" s="32">
        <v>0.34</v>
      </c>
      <c r="W6" s="33">
        <f t="shared" si="3"/>
        <v>0.34250000000000003</v>
      </c>
      <c r="X6" s="33">
        <f t="shared" si="4"/>
        <v>0.34499999999999997</v>
      </c>
      <c r="Y6" s="33">
        <f t="shared" si="5"/>
        <v>0.34749999999999998</v>
      </c>
      <c r="Z6" s="32">
        <v>0.35</v>
      </c>
      <c r="AA6" s="33">
        <f t="shared" si="6"/>
        <v>0.35499999999999998</v>
      </c>
      <c r="AB6" s="32">
        <v>0.36</v>
      </c>
    </row>
    <row r="7" spans="2:28" x14ac:dyDescent="0.35">
      <c r="B7" s="29" t="s">
        <v>35</v>
      </c>
      <c r="C7" s="34">
        <f>C4/C3</f>
        <v>0.83333333333333337</v>
      </c>
      <c r="O7" s="28">
        <v>0.75</v>
      </c>
      <c r="P7" s="32">
        <f t="shared" ref="P7" si="8">(P8-P6)/2+P6</f>
        <v>0.4</v>
      </c>
      <c r="Q7" s="33">
        <f t="shared" si="0"/>
        <v>0.41000000000000003</v>
      </c>
      <c r="R7" s="32">
        <f t="shared" ref="R7" si="9">(R8-R6)/2+R6</f>
        <v>0.42000000000000004</v>
      </c>
      <c r="S7" s="33">
        <f t="shared" si="1"/>
        <v>0.43000000000000005</v>
      </c>
      <c r="T7" s="32">
        <f t="shared" ref="T7" si="10">(T8-T6)/2+T6</f>
        <v>0.44000000000000006</v>
      </c>
      <c r="U7" s="33">
        <f t="shared" si="2"/>
        <v>0.44750000000000001</v>
      </c>
      <c r="V7" s="32">
        <f t="shared" ref="V7" si="11">(V8-V6)/2+V6</f>
        <v>0.45499999999999996</v>
      </c>
      <c r="W7" s="33">
        <f t="shared" si="3"/>
        <v>0.45749999999999996</v>
      </c>
      <c r="X7" s="33">
        <f t="shared" si="4"/>
        <v>0.45999999999999996</v>
      </c>
      <c r="Y7" s="33">
        <f t="shared" si="5"/>
        <v>0.46249999999999997</v>
      </c>
      <c r="Z7" s="32">
        <f t="shared" ref="Z7" si="12">(Z8-Z6)/2+Z6</f>
        <v>0.46499999999999997</v>
      </c>
      <c r="AA7" s="33">
        <f t="shared" si="6"/>
        <v>0.48</v>
      </c>
      <c r="AB7" s="32">
        <f t="shared" ref="AB7" si="13">(AB8-AB6)/2+AB6</f>
        <v>0.495</v>
      </c>
    </row>
    <row r="8" spans="2:28" ht="16.5" x14ac:dyDescent="0.45">
      <c r="B8" s="29" t="s">
        <v>36</v>
      </c>
      <c r="C8" s="30">
        <v>5</v>
      </c>
      <c r="O8" s="28">
        <v>1</v>
      </c>
      <c r="P8" s="32">
        <v>0.48</v>
      </c>
      <c r="Q8" s="33">
        <f t="shared" si="0"/>
        <v>0.5</v>
      </c>
      <c r="R8" s="32">
        <v>0.52</v>
      </c>
      <c r="S8" s="33">
        <f t="shared" si="1"/>
        <v>0.53</v>
      </c>
      <c r="T8" s="32">
        <v>0.54</v>
      </c>
      <c r="U8" s="33">
        <f t="shared" si="2"/>
        <v>0.55499999999999994</v>
      </c>
      <c r="V8" s="32">
        <v>0.56999999999999995</v>
      </c>
      <c r="W8" s="33">
        <f t="shared" si="3"/>
        <v>0.57250000000000001</v>
      </c>
      <c r="X8" s="33">
        <f t="shared" si="4"/>
        <v>0.57499999999999996</v>
      </c>
      <c r="Y8" s="33">
        <f t="shared" si="5"/>
        <v>0.5774999999999999</v>
      </c>
      <c r="Z8" s="32">
        <v>0.57999999999999996</v>
      </c>
      <c r="AA8" s="33">
        <f t="shared" si="6"/>
        <v>0.60499999999999998</v>
      </c>
      <c r="AB8" s="32">
        <v>0.63</v>
      </c>
    </row>
    <row r="9" spans="2:28" x14ac:dyDescent="0.35">
      <c r="B9" s="29" t="s">
        <v>37</v>
      </c>
      <c r="C9" s="30">
        <v>0.3</v>
      </c>
      <c r="O9" s="28">
        <v>1.25</v>
      </c>
      <c r="P9" s="32">
        <f t="shared" ref="P9" si="14">(P10-P8)/2+P8</f>
        <v>0.52499999999999991</v>
      </c>
      <c r="Q9" s="33">
        <f t="shared" si="0"/>
        <v>0.55249999999999999</v>
      </c>
      <c r="R9" s="32">
        <f t="shared" ref="R9" si="15">(R10-R8)/2+R8</f>
        <v>0.58000000000000007</v>
      </c>
      <c r="S9" s="33">
        <f t="shared" si="1"/>
        <v>0.59500000000000008</v>
      </c>
      <c r="T9" s="32">
        <f t="shared" ref="T9" si="16">(T10-T8)/2+T8</f>
        <v>0.6100000000000001</v>
      </c>
      <c r="U9" s="33">
        <f t="shared" si="2"/>
        <v>0.62750000000000006</v>
      </c>
      <c r="V9" s="32">
        <f t="shared" ref="V9" si="17">(V10-V8)/2+V8</f>
        <v>0.64500000000000002</v>
      </c>
      <c r="W9" s="33">
        <f t="shared" si="3"/>
        <v>0.65</v>
      </c>
      <c r="X9" s="33">
        <f t="shared" si="4"/>
        <v>0.65500000000000003</v>
      </c>
      <c r="Y9" s="33">
        <f t="shared" si="5"/>
        <v>0.66</v>
      </c>
      <c r="Z9" s="32">
        <f t="shared" ref="Z9" si="18">(Z10-Z8)/2+Z8</f>
        <v>0.66500000000000004</v>
      </c>
      <c r="AA9" s="33">
        <f t="shared" si="6"/>
        <v>0.69750000000000001</v>
      </c>
      <c r="AB9" s="32">
        <f t="shared" ref="AB9" si="19">(AB10-AB8)/2+AB8</f>
        <v>0.73</v>
      </c>
    </row>
    <row r="10" spans="2:28" ht="16.5" x14ac:dyDescent="0.45">
      <c r="B10" s="29" t="s">
        <v>38</v>
      </c>
      <c r="C10" s="35" t="e">
        <f>INDEX($O$2:$AB$24,MATCH(C6,O2:O24,1),MATCH(C7,O3:AB3,1))</f>
        <v>#N/A</v>
      </c>
      <c r="O10" s="28">
        <v>1.5</v>
      </c>
      <c r="P10" s="32">
        <v>0.56999999999999995</v>
      </c>
      <c r="Q10" s="33">
        <f t="shared" si="0"/>
        <v>0.60499999999999998</v>
      </c>
      <c r="R10" s="32">
        <v>0.64</v>
      </c>
      <c r="S10" s="33">
        <f t="shared" si="1"/>
        <v>0.66</v>
      </c>
      <c r="T10" s="32">
        <v>0.68</v>
      </c>
      <c r="U10" s="33">
        <f t="shared" si="2"/>
        <v>0.7</v>
      </c>
      <c r="V10" s="32">
        <v>0.72</v>
      </c>
      <c r="W10" s="33">
        <f t="shared" si="3"/>
        <v>0.72750000000000004</v>
      </c>
      <c r="X10" s="33">
        <f t="shared" si="4"/>
        <v>0.73499999999999999</v>
      </c>
      <c r="Y10" s="33">
        <f t="shared" si="5"/>
        <v>0.74249999999999994</v>
      </c>
      <c r="Z10" s="32">
        <v>0.75</v>
      </c>
      <c r="AA10" s="33">
        <f t="shared" si="6"/>
        <v>0.79</v>
      </c>
      <c r="AB10" s="32">
        <v>0.83</v>
      </c>
    </row>
    <row r="11" spans="2:28" ht="18" thickBot="1" x14ac:dyDescent="0.5">
      <c r="B11" s="36" t="s">
        <v>39</v>
      </c>
      <c r="C11" s="37" t="e">
        <f>C2/(C3*(1-C9^2)*C10)</f>
        <v>#N/A</v>
      </c>
      <c r="O11" s="28">
        <v>1.75</v>
      </c>
      <c r="P11" s="32">
        <f t="shared" ref="P11" si="20">(P12-P10)/2+P10</f>
        <v>0.6</v>
      </c>
      <c r="Q11" s="33">
        <f t="shared" si="0"/>
        <v>0.6399999999999999</v>
      </c>
      <c r="R11" s="32">
        <f t="shared" ref="R11" si="21">(R12-R10)/2+R10</f>
        <v>0.67999999999999994</v>
      </c>
      <c r="S11" s="33">
        <f t="shared" si="1"/>
        <v>0.70250000000000001</v>
      </c>
      <c r="T11" s="32">
        <f t="shared" ref="T11" si="22">(T12-T10)/2+T10</f>
        <v>0.72500000000000009</v>
      </c>
      <c r="U11" s="33">
        <f t="shared" si="2"/>
        <v>0.75</v>
      </c>
      <c r="V11" s="32">
        <f t="shared" ref="V11" si="23">(V12-V10)/2+V10</f>
        <v>0.77499999999999991</v>
      </c>
      <c r="W11" s="33">
        <f t="shared" si="3"/>
        <v>0.78374999999999995</v>
      </c>
      <c r="X11" s="33">
        <f t="shared" si="4"/>
        <v>0.79249999999999998</v>
      </c>
      <c r="Y11" s="33">
        <f t="shared" si="5"/>
        <v>0.80125000000000002</v>
      </c>
      <c r="Z11" s="32">
        <f t="shared" ref="Z11" si="24">(Z12-Z10)/2+Z10</f>
        <v>0.81</v>
      </c>
      <c r="AA11" s="33">
        <f t="shared" si="6"/>
        <v>0.86</v>
      </c>
      <c r="AB11" s="32">
        <f t="shared" ref="AB11" si="25">(AB12-AB10)/2+AB10</f>
        <v>0.90999999999999992</v>
      </c>
    </row>
    <row r="12" spans="2:28" x14ac:dyDescent="0.35">
      <c r="O12" s="28">
        <v>2</v>
      </c>
      <c r="P12" s="32">
        <v>0.63</v>
      </c>
      <c r="Q12" s="33">
        <f t="shared" si="0"/>
        <v>0.67500000000000004</v>
      </c>
      <c r="R12" s="32">
        <v>0.72</v>
      </c>
      <c r="S12" s="33">
        <f t="shared" si="1"/>
        <v>0.745</v>
      </c>
      <c r="T12" s="32">
        <v>0.77</v>
      </c>
      <c r="U12" s="33">
        <f t="shared" si="2"/>
        <v>0.8</v>
      </c>
      <c r="V12" s="32">
        <v>0.83</v>
      </c>
      <c r="W12" s="33">
        <f t="shared" si="3"/>
        <v>0.84</v>
      </c>
      <c r="X12" s="33">
        <f t="shared" si="4"/>
        <v>0.85</v>
      </c>
      <c r="Y12" s="33">
        <f t="shared" si="5"/>
        <v>0.86</v>
      </c>
      <c r="Z12" s="32">
        <v>0.87</v>
      </c>
      <c r="AA12" s="33">
        <f t="shared" si="6"/>
        <v>0.92999999999999994</v>
      </c>
      <c r="AB12" s="32">
        <v>0.99</v>
      </c>
    </row>
    <row r="13" spans="2:28" x14ac:dyDescent="0.35">
      <c r="O13" s="28">
        <v>2.25</v>
      </c>
      <c r="P13" s="32">
        <f t="shared" ref="P13" si="26">(P14-P12)/2+P12</f>
        <v>0.64500000000000002</v>
      </c>
      <c r="Q13" s="33">
        <f t="shared" si="0"/>
        <v>0.69500000000000006</v>
      </c>
      <c r="R13" s="32">
        <f t="shared" ref="R13" si="27">(R14-R12)/2+R12</f>
        <v>0.745</v>
      </c>
      <c r="S13" s="33">
        <f t="shared" si="1"/>
        <v>0.77249999999999996</v>
      </c>
      <c r="T13" s="32">
        <f t="shared" ref="T13" si="28">(T14-T12)/2+T12</f>
        <v>0.8</v>
      </c>
      <c r="U13" s="33">
        <f t="shared" si="2"/>
        <v>0.83499999999999996</v>
      </c>
      <c r="V13" s="32">
        <f t="shared" ref="V13" si="29">(V14-V12)/2+V12</f>
        <v>0.87</v>
      </c>
      <c r="W13" s="33">
        <f t="shared" si="3"/>
        <v>0.88250000000000006</v>
      </c>
      <c r="X13" s="33">
        <f t="shared" si="4"/>
        <v>0.89500000000000002</v>
      </c>
      <c r="Y13" s="33">
        <f t="shared" si="5"/>
        <v>0.90749999999999997</v>
      </c>
      <c r="Z13" s="32">
        <f t="shared" ref="Z13" si="30">(Z14-Z12)/2+Z12</f>
        <v>0.91999999999999993</v>
      </c>
      <c r="AA13" s="33">
        <f t="shared" si="6"/>
        <v>0.98750000000000004</v>
      </c>
      <c r="AB13" s="32">
        <f t="shared" ref="AB13" si="31">(AB14-AB12)/2+AB12</f>
        <v>1.0550000000000002</v>
      </c>
    </row>
    <row r="14" spans="2:28" x14ac:dyDescent="0.35">
      <c r="O14" s="28">
        <v>2.5</v>
      </c>
      <c r="P14" s="32">
        <v>0.66</v>
      </c>
      <c r="Q14" s="33">
        <f t="shared" si="0"/>
        <v>0.71500000000000008</v>
      </c>
      <c r="R14" s="32">
        <v>0.77</v>
      </c>
      <c r="S14" s="33">
        <f t="shared" si="1"/>
        <v>0.8</v>
      </c>
      <c r="T14" s="32">
        <v>0.83</v>
      </c>
      <c r="U14" s="33">
        <f t="shared" si="2"/>
        <v>0.87</v>
      </c>
      <c r="V14" s="32">
        <v>0.91</v>
      </c>
      <c r="W14" s="33">
        <f t="shared" si="3"/>
        <v>0.92500000000000004</v>
      </c>
      <c r="X14" s="33">
        <f t="shared" si="4"/>
        <v>0.94</v>
      </c>
      <c r="Y14" s="33">
        <f t="shared" si="5"/>
        <v>0.95499999999999996</v>
      </c>
      <c r="Z14" s="32">
        <v>0.97</v>
      </c>
      <c r="AA14" s="33">
        <f t="shared" si="6"/>
        <v>1.0449999999999999</v>
      </c>
      <c r="AB14" s="32">
        <v>1.1200000000000001</v>
      </c>
    </row>
    <row r="15" spans="2:28" x14ac:dyDescent="0.35">
      <c r="O15" s="28">
        <v>2.75</v>
      </c>
      <c r="P15" s="32">
        <f t="shared" ref="P15" si="32">(P16-P14)/2+P14</f>
        <v>0.67500000000000004</v>
      </c>
      <c r="Q15" s="33">
        <f t="shared" si="0"/>
        <v>0.73</v>
      </c>
      <c r="R15" s="32">
        <f t="shared" ref="R15" si="33">(R16-R14)/2+R14</f>
        <v>0.78500000000000003</v>
      </c>
      <c r="S15" s="33">
        <f t="shared" si="1"/>
        <v>0.82000000000000006</v>
      </c>
      <c r="T15" s="32">
        <f t="shared" ref="T15" si="34">(T16-T14)/2+T14</f>
        <v>0.85499999999999998</v>
      </c>
      <c r="U15" s="33">
        <f t="shared" si="2"/>
        <v>0.89749999999999996</v>
      </c>
      <c r="V15" s="32">
        <f t="shared" ref="V15" si="35">(V16-V14)/2+V14</f>
        <v>0.94</v>
      </c>
      <c r="W15" s="33">
        <f t="shared" si="3"/>
        <v>0.95624999999999993</v>
      </c>
      <c r="X15" s="33">
        <f t="shared" si="4"/>
        <v>0.97249999999999992</v>
      </c>
      <c r="Y15" s="33">
        <f t="shared" si="5"/>
        <v>0.98874999999999991</v>
      </c>
      <c r="Z15" s="32">
        <f t="shared" ref="Z15" si="36">(Z16-Z14)/2+Z14</f>
        <v>1.0049999999999999</v>
      </c>
      <c r="AA15" s="33">
        <f t="shared" si="6"/>
        <v>1.0899999999999999</v>
      </c>
      <c r="AB15" s="32">
        <f t="shared" ref="AB15" si="37">(AB16-AB14)/2+AB14</f>
        <v>1.175</v>
      </c>
    </row>
    <row r="16" spans="2:28" x14ac:dyDescent="0.35">
      <c r="O16" s="28">
        <v>3</v>
      </c>
      <c r="P16" s="32">
        <v>0.69</v>
      </c>
      <c r="Q16" s="33">
        <f t="shared" si="0"/>
        <v>0.745</v>
      </c>
      <c r="R16" s="32">
        <v>0.8</v>
      </c>
      <c r="S16" s="33">
        <f t="shared" si="1"/>
        <v>0.84000000000000008</v>
      </c>
      <c r="T16" s="32">
        <v>0.88</v>
      </c>
      <c r="U16" s="33">
        <f t="shared" si="2"/>
        <v>0.92500000000000004</v>
      </c>
      <c r="V16" s="32">
        <v>0.97</v>
      </c>
      <c r="W16" s="33">
        <f t="shared" si="3"/>
        <v>0.98749999999999993</v>
      </c>
      <c r="X16" s="33">
        <f t="shared" si="4"/>
        <v>1.0049999999999999</v>
      </c>
      <c r="Y16" s="33">
        <f t="shared" si="5"/>
        <v>1.0225</v>
      </c>
      <c r="Z16" s="32">
        <v>1.04</v>
      </c>
      <c r="AA16" s="33">
        <f t="shared" si="6"/>
        <v>1.135</v>
      </c>
      <c r="AB16" s="32">
        <v>1.23</v>
      </c>
    </row>
    <row r="17" spans="15:28" x14ac:dyDescent="0.35">
      <c r="O17" s="28">
        <v>3.25</v>
      </c>
      <c r="P17" s="32">
        <f t="shared" ref="P17" si="38">(P18-P16)/2+P16</f>
        <v>0.7</v>
      </c>
      <c r="Q17" s="33">
        <f t="shared" si="0"/>
        <v>0.75749999999999995</v>
      </c>
      <c r="R17" s="32">
        <f t="shared" ref="R17" si="39">(R18-R16)/2+R16</f>
        <v>0.81499999999999995</v>
      </c>
      <c r="S17" s="33">
        <f t="shared" si="1"/>
        <v>0.85499999999999998</v>
      </c>
      <c r="T17" s="32">
        <f t="shared" ref="T17" si="40">(T18-T16)/2+T16</f>
        <v>0.89500000000000002</v>
      </c>
      <c r="U17" s="33">
        <f t="shared" si="2"/>
        <v>0.94500000000000006</v>
      </c>
      <c r="V17" s="32">
        <f t="shared" ref="V17" si="41">(V18-V16)/2+V16</f>
        <v>0.995</v>
      </c>
      <c r="W17" s="33">
        <f t="shared" si="3"/>
        <v>1.0137499999999999</v>
      </c>
      <c r="X17" s="33">
        <f t="shared" si="4"/>
        <v>1.0325</v>
      </c>
      <c r="Y17" s="33">
        <f t="shared" si="5"/>
        <v>1.05125</v>
      </c>
      <c r="Z17" s="32">
        <f t="shared" ref="Z17" si="42">(Z18-Z16)/2+Z16</f>
        <v>1.07</v>
      </c>
      <c r="AA17" s="33">
        <f t="shared" si="6"/>
        <v>1.1724999999999999</v>
      </c>
      <c r="AB17" s="32">
        <f t="shared" ref="AB17" si="43">(AB18-AB16)/2+AB16</f>
        <v>1.2749999999999999</v>
      </c>
    </row>
    <row r="18" spans="15:28" x14ac:dyDescent="0.35">
      <c r="O18" s="28">
        <v>3.5</v>
      </c>
      <c r="P18" s="32">
        <v>0.71</v>
      </c>
      <c r="Q18" s="33">
        <f t="shared" si="0"/>
        <v>0.77</v>
      </c>
      <c r="R18" s="32">
        <v>0.83</v>
      </c>
      <c r="S18" s="33">
        <f t="shared" si="1"/>
        <v>0.87</v>
      </c>
      <c r="T18" s="32">
        <v>0.91</v>
      </c>
      <c r="U18" s="33">
        <f t="shared" si="2"/>
        <v>0.96500000000000008</v>
      </c>
      <c r="V18" s="32">
        <v>1.02</v>
      </c>
      <c r="W18" s="33">
        <f t="shared" si="3"/>
        <v>1.04</v>
      </c>
      <c r="X18" s="33">
        <f t="shared" si="4"/>
        <v>1.06</v>
      </c>
      <c r="Y18" s="33">
        <f t="shared" si="5"/>
        <v>1.08</v>
      </c>
      <c r="Z18" s="32">
        <v>1.1000000000000001</v>
      </c>
      <c r="AA18" s="33">
        <f t="shared" si="6"/>
        <v>1.21</v>
      </c>
      <c r="AB18" s="32">
        <v>1.32</v>
      </c>
    </row>
    <row r="19" spans="15:28" x14ac:dyDescent="0.35">
      <c r="O19" s="28">
        <f>(O20-O18)/2+O18</f>
        <v>4.25</v>
      </c>
      <c r="P19" s="32">
        <f t="shared" ref="P19" si="44">(P20-P18)/2+P18</f>
        <v>0.72499999999999998</v>
      </c>
      <c r="Q19" s="33">
        <f t="shared" si="0"/>
        <v>0.79</v>
      </c>
      <c r="R19" s="32">
        <f t="shared" ref="R19" si="45">(R20-R18)/2+R18</f>
        <v>0.85499999999999998</v>
      </c>
      <c r="S19" s="33">
        <f t="shared" si="1"/>
        <v>0.89749999999999996</v>
      </c>
      <c r="T19" s="32">
        <f t="shared" ref="T19" si="46">(T20-T18)/2+T18</f>
        <v>0.94</v>
      </c>
      <c r="U19" s="33">
        <f t="shared" si="2"/>
        <v>1</v>
      </c>
      <c r="V19" s="32">
        <f t="shared" ref="V19" si="47">(V20-V18)/2+V18</f>
        <v>1.06</v>
      </c>
      <c r="W19" s="33">
        <f t="shared" si="3"/>
        <v>1.085</v>
      </c>
      <c r="X19" s="33">
        <f t="shared" si="4"/>
        <v>1.1100000000000001</v>
      </c>
      <c r="Y19" s="33">
        <f t="shared" si="5"/>
        <v>1.1350000000000002</v>
      </c>
      <c r="Z19" s="32">
        <f t="shared" ref="Z19" si="48">(Z20-Z18)/2+Z18</f>
        <v>1.1600000000000001</v>
      </c>
      <c r="AA19" s="33">
        <f t="shared" si="6"/>
        <v>1.2950000000000002</v>
      </c>
      <c r="AB19" s="32">
        <f t="shared" ref="AB19" si="49">(AB20-AB18)/2+AB18</f>
        <v>1.4300000000000002</v>
      </c>
    </row>
    <row r="20" spans="15:28" x14ac:dyDescent="0.35">
      <c r="O20" s="28">
        <v>5</v>
      </c>
      <c r="P20" s="32">
        <v>0.74</v>
      </c>
      <c r="Q20" s="33">
        <f t="shared" si="0"/>
        <v>0.81</v>
      </c>
      <c r="R20" s="32">
        <v>0.88</v>
      </c>
      <c r="S20" s="33">
        <f t="shared" si="1"/>
        <v>0.92500000000000004</v>
      </c>
      <c r="T20" s="32">
        <v>0.97</v>
      </c>
      <c r="U20" s="33">
        <f t="shared" si="2"/>
        <v>1.0350000000000001</v>
      </c>
      <c r="V20" s="32">
        <v>1.1000000000000001</v>
      </c>
      <c r="W20" s="33">
        <f t="shared" si="3"/>
        <v>1.1300000000000001</v>
      </c>
      <c r="X20" s="33">
        <f t="shared" si="4"/>
        <v>1.1600000000000001</v>
      </c>
      <c r="Y20" s="33">
        <f t="shared" si="5"/>
        <v>1.19</v>
      </c>
      <c r="Z20" s="32">
        <v>1.22</v>
      </c>
      <c r="AA20" s="33">
        <f t="shared" si="6"/>
        <v>1.38</v>
      </c>
      <c r="AB20" s="32">
        <v>1.54</v>
      </c>
    </row>
    <row r="21" spans="15:28" x14ac:dyDescent="0.35">
      <c r="O21" s="28">
        <f>(O22-O20)/2+O20</f>
        <v>6.25</v>
      </c>
      <c r="P21" s="32">
        <f t="shared" ref="P21" si="50">(P22-P20)/2+P20</f>
        <v>0.755</v>
      </c>
      <c r="Q21" s="33">
        <f t="shared" si="0"/>
        <v>0.82750000000000001</v>
      </c>
      <c r="R21" s="32">
        <f t="shared" ref="R21" si="51">(R22-R20)/2+R20</f>
        <v>0.9</v>
      </c>
      <c r="S21" s="33">
        <f t="shared" si="1"/>
        <v>0.94500000000000006</v>
      </c>
      <c r="T21" s="32">
        <f t="shared" ref="T21" si="52">(T22-T20)/2+T20</f>
        <v>0.99</v>
      </c>
      <c r="U21" s="33">
        <f t="shared" si="2"/>
        <v>1.0575000000000001</v>
      </c>
      <c r="V21" s="32">
        <f t="shared" ref="V21" si="53">(V22-V20)/2+V20</f>
        <v>1.125</v>
      </c>
      <c r="W21" s="33">
        <f t="shared" si="3"/>
        <v>1.1637500000000001</v>
      </c>
      <c r="X21" s="33">
        <f t="shared" si="4"/>
        <v>1.2025000000000001</v>
      </c>
      <c r="Y21" s="33">
        <f t="shared" si="5"/>
        <v>1.24125</v>
      </c>
      <c r="Z21" s="32">
        <f t="shared" ref="Z21" si="54">(Z22-Z20)/2+Z20</f>
        <v>1.28</v>
      </c>
      <c r="AA21" s="33">
        <f t="shared" si="6"/>
        <v>1.4725000000000001</v>
      </c>
      <c r="AB21" s="32">
        <f t="shared" ref="AB21" si="55">(AB22-AB20)/2+AB20</f>
        <v>1.665</v>
      </c>
    </row>
    <row r="22" spans="15:28" x14ac:dyDescent="0.35">
      <c r="O22" s="28">
        <v>7.5</v>
      </c>
      <c r="P22" s="32">
        <v>0.77</v>
      </c>
      <c r="Q22" s="33">
        <f t="shared" si="0"/>
        <v>0.84499999999999997</v>
      </c>
      <c r="R22" s="32">
        <v>0.92</v>
      </c>
      <c r="S22" s="33">
        <f t="shared" si="1"/>
        <v>0.96500000000000008</v>
      </c>
      <c r="T22" s="32">
        <v>1.01</v>
      </c>
      <c r="U22" s="33">
        <f t="shared" si="2"/>
        <v>1.08</v>
      </c>
      <c r="V22" s="32">
        <v>1.1499999999999999</v>
      </c>
      <c r="W22" s="33">
        <f t="shared" si="3"/>
        <v>1.1975</v>
      </c>
      <c r="X22" s="33">
        <f t="shared" si="4"/>
        <v>1.2450000000000001</v>
      </c>
      <c r="Y22" s="33">
        <f t="shared" si="5"/>
        <v>1.2925</v>
      </c>
      <c r="Z22" s="32">
        <v>1.34</v>
      </c>
      <c r="AA22" s="33">
        <f t="shared" si="6"/>
        <v>1.5649999999999999</v>
      </c>
      <c r="AB22" s="32">
        <v>1.79</v>
      </c>
    </row>
    <row r="23" spans="15:28" x14ac:dyDescent="0.35">
      <c r="O23" s="28">
        <f>(O24-O22)/2+O22</f>
        <v>8.75</v>
      </c>
      <c r="P23" s="32">
        <f t="shared" ref="P23" si="56">(P24-P22)/2+P22</f>
        <v>0.77</v>
      </c>
      <c r="Q23" s="33">
        <f t="shared" si="0"/>
        <v>0.84750000000000003</v>
      </c>
      <c r="R23" s="32">
        <f t="shared" ref="R23" si="57">(R24-R22)/2+R22</f>
        <v>0.92500000000000004</v>
      </c>
      <c r="S23" s="33">
        <f t="shared" si="1"/>
        <v>0.97750000000000004</v>
      </c>
      <c r="T23" s="32">
        <f t="shared" ref="T23" si="58">(T24-T22)/2+T22</f>
        <v>1.03</v>
      </c>
      <c r="U23" s="33">
        <f t="shared" si="2"/>
        <v>1.095</v>
      </c>
      <c r="V23" s="32">
        <f t="shared" ref="V23" si="59">(V24-V22)/2+V22</f>
        <v>1.1599999999999999</v>
      </c>
      <c r="W23" s="33">
        <f t="shared" si="3"/>
        <v>1.21875</v>
      </c>
      <c r="X23" s="33">
        <f t="shared" si="4"/>
        <v>1.2774999999999999</v>
      </c>
      <c r="Y23" s="33">
        <f t="shared" si="5"/>
        <v>1.3362499999999999</v>
      </c>
      <c r="Z23" s="32">
        <f t="shared" ref="Z23" si="60">(Z24-Z22)/2+Z22</f>
        <v>1.395</v>
      </c>
      <c r="AA23" s="33">
        <f t="shared" si="6"/>
        <v>1.6375</v>
      </c>
      <c r="AB23" s="32">
        <f t="shared" ref="AB23" si="61">(AB24-AB22)/2+AB22</f>
        <v>1.88</v>
      </c>
    </row>
    <row r="24" spans="15:28" x14ac:dyDescent="0.35">
      <c r="O24" s="28">
        <v>10</v>
      </c>
      <c r="P24" s="32">
        <v>0.77</v>
      </c>
      <c r="Q24" s="33">
        <f t="shared" si="0"/>
        <v>0.85000000000000009</v>
      </c>
      <c r="R24" s="32">
        <v>0.93</v>
      </c>
      <c r="S24" s="33">
        <f t="shared" si="1"/>
        <v>0.99</v>
      </c>
      <c r="T24" s="32">
        <v>1.05</v>
      </c>
      <c r="U24" s="33">
        <f t="shared" si="2"/>
        <v>1.1099999999999999</v>
      </c>
      <c r="V24" s="32">
        <v>1.17</v>
      </c>
      <c r="W24" s="33">
        <f t="shared" si="3"/>
        <v>1.24</v>
      </c>
      <c r="X24" s="33">
        <f t="shared" si="4"/>
        <v>1.31</v>
      </c>
      <c r="Y24" s="33">
        <f t="shared" si="5"/>
        <v>1.38</v>
      </c>
      <c r="Z24" s="32">
        <v>1.45</v>
      </c>
      <c r="AA24" s="33">
        <f t="shared" si="6"/>
        <v>1.71</v>
      </c>
      <c r="AB24" s="32">
        <v>1.97</v>
      </c>
    </row>
    <row r="30" spans="15:28" ht="13.5" customHeight="1" x14ac:dyDescent="0.35"/>
  </sheetData>
  <dataValidations count="1">
    <dataValidation type="decimal" operator="greaterThan" allowBlank="1" showInputMessage="1" showErrorMessage="1" sqref="C8" xr:uid="{DDB79053-D636-4374-80A1-36F2CF9A590E}">
      <formula1>C7</formula1>
    </dataValidation>
  </dataValidations>
  <hyperlinks>
    <hyperlink ref="N2" r:id="rId1" xr:uid="{853ED340-107B-474E-B957-3CD632194756}"/>
    <hyperlink ref="N3" r:id="rId2" xr:uid="{B3F717E1-B579-44DD-859A-48C30813BFBF}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EFAE1-53DD-4E61-AED1-FA309D92BE6F}">
  <sheetPr codeName="Sheet8"/>
  <dimension ref="A1:J19"/>
  <sheetViews>
    <sheetView workbookViewId="0">
      <selection activeCell="I17" sqref="I17"/>
    </sheetView>
  </sheetViews>
  <sheetFormatPr defaultRowHeight="14.5" x14ac:dyDescent="0.35"/>
  <cols>
    <col min="7" max="7" width="1.6328125" customWidth="1"/>
  </cols>
  <sheetData>
    <row r="1" spans="1:10" x14ac:dyDescent="0.35">
      <c r="A1" s="38"/>
      <c r="B1" s="39"/>
      <c r="C1" s="38"/>
      <c r="D1" s="38"/>
      <c r="E1" s="38"/>
      <c r="F1" s="38"/>
      <c r="G1" s="38"/>
      <c r="H1" s="38" t="s">
        <v>20</v>
      </c>
      <c r="I1" t="s">
        <v>1</v>
      </c>
      <c r="J1" t="s">
        <v>2</v>
      </c>
    </row>
    <row r="2" spans="1:10" x14ac:dyDescent="0.35">
      <c r="A2" s="38"/>
      <c r="B2" s="38"/>
      <c r="C2" s="38"/>
      <c r="D2" s="38"/>
      <c r="E2" s="38"/>
      <c r="F2" s="38"/>
      <c r="G2" s="38"/>
      <c r="H2" s="38">
        <v>1</v>
      </c>
      <c r="I2">
        <f>-'Wrinkler Simplificado'!$C$3/2-$B$10</f>
        <v>-8</v>
      </c>
      <c r="J2">
        <v>0</v>
      </c>
    </row>
    <row r="3" spans="1:10" x14ac:dyDescent="0.35">
      <c r="A3" s="38"/>
      <c r="B3" s="38"/>
      <c r="C3" s="38"/>
      <c r="D3" s="38"/>
      <c r="E3" s="38"/>
      <c r="F3" s="38"/>
      <c r="G3" s="38"/>
      <c r="H3" s="38">
        <v>2</v>
      </c>
      <c r="I3">
        <f>'Wrinkler Simplificado'!$C$3/2+$B$10</f>
        <v>8</v>
      </c>
      <c r="J3">
        <v>0</v>
      </c>
    </row>
    <row r="4" spans="1:10" x14ac:dyDescent="0.35">
      <c r="A4" s="38"/>
      <c r="B4" s="38"/>
      <c r="C4" s="38"/>
      <c r="D4" s="38"/>
      <c r="E4" s="38"/>
      <c r="F4" s="38"/>
      <c r="G4" s="38"/>
      <c r="H4" s="38">
        <v>3</v>
      </c>
      <c r="I4">
        <f>'Wrinkler Simplificado'!$C$3/2+$B$10</f>
        <v>8</v>
      </c>
      <c r="J4">
        <f>'Wrinkler Simplificado'!$C$5</f>
        <v>20</v>
      </c>
    </row>
    <row r="5" spans="1:10" x14ac:dyDescent="0.35">
      <c r="A5" s="38"/>
      <c r="B5" s="38"/>
      <c r="C5" s="38"/>
      <c r="D5" s="38"/>
      <c r="E5" s="38"/>
      <c r="F5" s="38"/>
      <c r="G5" s="38"/>
      <c r="H5" s="38">
        <v>4</v>
      </c>
      <c r="I5">
        <f>-'Wrinkler Simplificado'!$C$3/2-$B$10</f>
        <v>-8</v>
      </c>
      <c r="J5">
        <f>'Wrinkler Simplificado'!$C$5</f>
        <v>20</v>
      </c>
    </row>
    <row r="6" spans="1:10" x14ac:dyDescent="0.35">
      <c r="A6" s="38"/>
      <c r="B6" s="38"/>
      <c r="C6" s="38"/>
      <c r="D6" s="38"/>
      <c r="E6" s="38"/>
      <c r="F6" s="38"/>
      <c r="G6" s="38"/>
      <c r="H6" s="38">
        <v>5</v>
      </c>
      <c r="I6">
        <f>-'Wrinkler Simplificado'!$C$3/2-$B$10</f>
        <v>-8</v>
      </c>
      <c r="J6">
        <v>0</v>
      </c>
    </row>
    <row r="7" spans="1:10" x14ac:dyDescent="0.35">
      <c r="A7" s="38"/>
      <c r="B7" s="38"/>
      <c r="C7" s="38"/>
      <c r="D7" s="38"/>
      <c r="E7" s="38"/>
      <c r="F7" s="38"/>
      <c r="G7" s="38"/>
      <c r="H7" s="38"/>
    </row>
    <row r="8" spans="1:10" x14ac:dyDescent="0.35">
      <c r="A8" s="38"/>
      <c r="B8" s="38"/>
      <c r="C8" s="38"/>
      <c r="D8" s="38"/>
      <c r="E8" s="38"/>
      <c r="F8" s="38"/>
      <c r="G8" s="38"/>
      <c r="H8" s="38"/>
    </row>
    <row r="9" spans="1:10" x14ac:dyDescent="0.35">
      <c r="A9" s="38"/>
      <c r="B9" s="38"/>
      <c r="C9" s="38"/>
      <c r="D9" s="38"/>
      <c r="E9" s="38"/>
      <c r="F9" s="38"/>
      <c r="G9" s="38"/>
      <c r="H9" s="38" t="s">
        <v>20</v>
      </c>
      <c r="I9" t="s">
        <v>1</v>
      </c>
      <c r="J9" t="s">
        <v>2</v>
      </c>
    </row>
    <row r="10" spans="1:10" x14ac:dyDescent="0.35">
      <c r="A10" s="38" t="s">
        <v>25</v>
      </c>
      <c r="B10" s="38">
        <v>5</v>
      </c>
      <c r="C10" s="38"/>
      <c r="D10" s="38"/>
      <c r="E10" s="38"/>
      <c r="F10" s="38"/>
      <c r="G10" s="38"/>
      <c r="H10" s="38">
        <v>1</v>
      </c>
      <c r="I10">
        <f>-'Wrinkler Simplificado'!$C$3/2</f>
        <v>-3</v>
      </c>
      <c r="J10">
        <f>'Wrinkler Simplificado'!$C$5</f>
        <v>20</v>
      </c>
    </row>
    <row r="11" spans="1:10" x14ac:dyDescent="0.35">
      <c r="A11" s="38" t="s">
        <v>40</v>
      </c>
      <c r="B11" s="38">
        <v>0.5</v>
      </c>
      <c r="C11" s="38"/>
      <c r="D11" s="38"/>
      <c r="E11" s="38"/>
      <c r="F11" s="38"/>
      <c r="G11" s="38"/>
      <c r="H11" s="38">
        <v>2</v>
      </c>
      <c r="I11">
        <f>'Wrinkler Simplificado'!$C$3/2</f>
        <v>3</v>
      </c>
      <c r="J11">
        <f>'Wrinkler Simplificado'!$C$5</f>
        <v>20</v>
      </c>
    </row>
    <row r="12" spans="1:10" x14ac:dyDescent="0.35">
      <c r="A12" s="38"/>
      <c r="B12" s="38"/>
      <c r="C12" s="38"/>
      <c r="D12" s="38"/>
      <c r="E12" s="38"/>
      <c r="F12" s="38"/>
      <c r="G12" s="38"/>
      <c r="H12" s="38">
        <v>3</v>
      </c>
      <c r="I12">
        <f>'Wrinkler Simplificado'!$C$3/2</f>
        <v>3</v>
      </c>
      <c r="J12">
        <f>'Wrinkler Simplificado'!$C$5+$B$11</f>
        <v>20.5</v>
      </c>
    </row>
    <row r="13" spans="1:10" x14ac:dyDescent="0.35">
      <c r="H13" s="38">
        <v>4</v>
      </c>
      <c r="I13">
        <f>-'Wrinkler Simplificado'!$C$3/2</f>
        <v>-3</v>
      </c>
      <c r="J13">
        <f>'Wrinkler Simplificado'!$C$5+$B$11</f>
        <v>20.5</v>
      </c>
    </row>
    <row r="14" spans="1:10" x14ac:dyDescent="0.35">
      <c r="H14" s="38">
        <v>5</v>
      </c>
      <c r="I14">
        <f>-'Wrinkler Simplificado'!$C$3/2</f>
        <v>-3</v>
      </c>
      <c r="J14">
        <f>'Wrinkler Simplificado'!$C$5</f>
        <v>20</v>
      </c>
    </row>
    <row r="15" spans="1:10" x14ac:dyDescent="0.35">
      <c r="H15" s="38"/>
    </row>
    <row r="16" spans="1:10" x14ac:dyDescent="0.35">
      <c r="H16" s="38"/>
    </row>
    <row r="17" spans="8:8" x14ac:dyDescent="0.35">
      <c r="H17" s="38"/>
    </row>
    <row r="18" spans="8:8" x14ac:dyDescent="0.35">
      <c r="H18" s="38"/>
    </row>
    <row r="19" spans="8:8" x14ac:dyDescent="0.35">
      <c r="H19" s="38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22B2-1E2A-403E-904C-5CE9E0A8CAE7}">
  <sheetPr codeName="Sheet2">
    <tabColor rgb="FF002060"/>
  </sheetPr>
  <dimension ref="B1:J10"/>
  <sheetViews>
    <sheetView showGridLines="0" zoomScale="160" zoomScaleNormal="160" workbookViewId="0">
      <selection activeCell="C2" sqref="C2:D2"/>
    </sheetView>
  </sheetViews>
  <sheetFormatPr defaultRowHeight="14.5" x14ac:dyDescent="0.35"/>
  <cols>
    <col min="1" max="2" width="3.54296875" customWidth="1"/>
    <col min="5" max="5" width="1.6328125" customWidth="1"/>
    <col min="8" max="8" width="1.54296875" customWidth="1"/>
    <col min="9" max="9" width="21.6328125" bestFit="1" customWidth="1"/>
    <col min="10" max="10" width="12.36328125" bestFit="1" customWidth="1"/>
    <col min="11" max="11" width="1.6328125" customWidth="1"/>
  </cols>
  <sheetData>
    <row r="1" spans="2:10" ht="10.5" customHeight="1" x14ac:dyDescent="0.35"/>
    <row r="2" spans="2:10" x14ac:dyDescent="0.35">
      <c r="C2" s="40" t="s">
        <v>12</v>
      </c>
      <c r="D2" s="40"/>
      <c r="E2" s="12"/>
      <c r="F2" s="40" t="s">
        <v>14</v>
      </c>
      <c r="G2" s="40"/>
      <c r="H2" s="13"/>
      <c r="I2" s="40" t="s">
        <v>5</v>
      </c>
      <c r="J2" s="40"/>
    </row>
    <row r="3" spans="2:10" x14ac:dyDescent="0.35">
      <c r="C3" t="s">
        <v>1</v>
      </c>
      <c r="D3" t="s">
        <v>2</v>
      </c>
      <c r="F3" t="s">
        <v>1</v>
      </c>
      <c r="G3" t="s">
        <v>2</v>
      </c>
      <c r="I3" s="15" t="s">
        <v>5</v>
      </c>
      <c r="J3" s="15">
        <v>0</v>
      </c>
    </row>
    <row r="4" spans="2:10" x14ac:dyDescent="0.35">
      <c r="B4">
        <v>1</v>
      </c>
      <c r="C4">
        <f>$J$9*COS(J4+J10)</f>
        <v>0.16021409551394714</v>
      </c>
      <c r="D4">
        <f>$J$9*SIN(J4+J10)</f>
        <v>7.4709059682529985E-2</v>
      </c>
      <c r="F4">
        <f>$J$7*COS(J4+J8)+IsolatedFooting.UI!$C$6</f>
        <v>1.6021409551394714</v>
      </c>
      <c r="G4">
        <f>$J$7*SIN(J4+J8)+IsolatedFooting.UI!$C$7</f>
        <v>0.74709059682529977</v>
      </c>
      <c r="I4" s="15" t="s">
        <v>6</v>
      </c>
      <c r="J4" s="15">
        <f>IsolatedFooting.UI!$C$8*PI()/180</f>
        <v>5.9341194567807207</v>
      </c>
    </row>
    <row r="5" spans="2:10" x14ac:dyDescent="0.35">
      <c r="B5">
        <v>2</v>
      </c>
      <c r="C5">
        <f>$J$9*COS(PI()-J10+J4)</f>
        <v>-7.4709059682529833E-2</v>
      </c>
      <c r="D5">
        <f>$J$9*SIN(PI()-J10+J4)</f>
        <v>0.16021409551394719</v>
      </c>
      <c r="F5">
        <f>$J$7*COS(PI()-J8+J4)+IsolatedFooting.UI!$C$6</f>
        <v>-0.74709059682529833</v>
      </c>
      <c r="G5">
        <f>$J$7*SIN(PI()-J8+J4)+IsolatedFooting.UI!$C$7</f>
        <v>1.6021409551394721</v>
      </c>
      <c r="I5" s="15" t="s">
        <v>16</v>
      </c>
      <c r="J5" s="16">
        <f>IsolatedFooting.UI!C2</f>
        <v>2.5</v>
      </c>
    </row>
    <row r="6" spans="2:10" x14ac:dyDescent="0.35">
      <c r="B6">
        <v>3</v>
      </c>
      <c r="C6">
        <f>$J$9*COS(PI()+J10+J4)</f>
        <v>-0.16021409551394708</v>
      </c>
      <c r="D6">
        <f>$J$9*SIN(PI()+J10+J4)</f>
        <v>-7.470905968253011E-2</v>
      </c>
      <c r="F6">
        <f>$J$7*COS(PI()+J8+J4)+IsolatedFooting.UI!$C$6</f>
        <v>-1.6021409551394707</v>
      </c>
      <c r="G6">
        <f>$J$7*SIN(PI()+J8+J4)+IsolatedFooting.UI!$C$7</f>
        <v>-0.7470905968253011</v>
      </c>
      <c r="I6" s="15" t="s">
        <v>17</v>
      </c>
      <c r="J6" s="16">
        <f>IsolatedFooting.UI!C3</f>
        <v>2.5</v>
      </c>
    </row>
    <row r="7" spans="2:10" x14ac:dyDescent="0.35">
      <c r="B7">
        <v>4</v>
      </c>
      <c r="C7">
        <f>$J$9*COS(2*PI()-J10+J4)</f>
        <v>7.4709059682529819E-2</v>
      </c>
      <c r="D7">
        <f>$J$9*SIN(2*PI()-J10+J4)</f>
        <v>-0.16021409551394722</v>
      </c>
      <c r="F7">
        <f>$J$7*COS(2*PI()-J8+J4)+IsolatedFooting.UI!$C$6</f>
        <v>0.7470905968252981</v>
      </c>
      <c r="G7">
        <f>$J$7*SIN(2*PI()-J8+J4)+IsolatedFooting.UI!$C$7</f>
        <v>-1.6021409551394723</v>
      </c>
      <c r="I7" s="15" t="s">
        <v>8</v>
      </c>
      <c r="J7" s="15">
        <f>SQRT(J5^2+J6^2)/2</f>
        <v>1.7677669529663689</v>
      </c>
    </row>
    <row r="8" spans="2:10" x14ac:dyDescent="0.35">
      <c r="B8">
        <v>5</v>
      </c>
      <c r="C8">
        <f>C4</f>
        <v>0.16021409551394714</v>
      </c>
      <c r="D8">
        <f>D4</f>
        <v>7.4709059682529985E-2</v>
      </c>
      <c r="F8">
        <f>F4</f>
        <v>1.6021409551394714</v>
      </c>
      <c r="G8">
        <f>G4</f>
        <v>0.74709059682529977</v>
      </c>
      <c r="I8" s="15" t="s">
        <v>18</v>
      </c>
      <c r="J8" s="15">
        <f>ATAN(J6/J5)</f>
        <v>0.78539816339744828</v>
      </c>
    </row>
    <row r="9" spans="2:10" x14ac:dyDescent="0.35">
      <c r="I9" s="15" t="s">
        <v>15</v>
      </c>
      <c r="J9" s="15">
        <f>SQRT(0.125^2*2)</f>
        <v>0.17677669529663689</v>
      </c>
    </row>
    <row r="10" spans="2:10" x14ac:dyDescent="0.35">
      <c r="I10" s="15" t="s">
        <v>19</v>
      </c>
      <c r="J10" s="15">
        <f>ATAN(0.125/0.125)</f>
        <v>0.78539816339744828</v>
      </c>
    </row>
  </sheetData>
  <mergeCells count="3">
    <mergeCell ref="C2:D2"/>
    <mergeCell ref="F2:G2"/>
    <mergeCell ref="I2:J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EA999-39C9-40BF-AD84-AF99FAE66BB0}">
  <sheetPr codeName="Sheet4">
    <tabColor rgb="FF002060"/>
  </sheetPr>
  <dimension ref="C1:G8"/>
  <sheetViews>
    <sheetView zoomScale="130" zoomScaleNormal="130" workbookViewId="0">
      <selection activeCell="C2" sqref="C2:D2"/>
    </sheetView>
  </sheetViews>
  <sheetFormatPr defaultRowHeight="14.5" x14ac:dyDescent="0.35"/>
  <cols>
    <col min="1" max="1" width="3.54296875" customWidth="1"/>
    <col min="2" max="2" width="1.6328125" customWidth="1"/>
    <col min="3" max="4" width="10.6328125" customWidth="1"/>
    <col min="5" max="5" width="1.6328125" customWidth="1"/>
  </cols>
  <sheetData>
    <row r="1" spans="3:7" ht="10.5" customHeight="1" x14ac:dyDescent="0.35"/>
    <row r="2" spans="3:7" x14ac:dyDescent="0.35">
      <c r="C2" s="41" t="s">
        <v>13</v>
      </c>
      <c r="D2" s="41"/>
      <c r="E2" s="14"/>
      <c r="F2" s="41"/>
      <c r="G2" s="41"/>
    </row>
    <row r="3" spans="3:7" x14ac:dyDescent="0.35">
      <c r="C3" t="s">
        <v>1</v>
      </c>
      <c r="D3" t="s">
        <v>2</v>
      </c>
      <c r="F3" t="s">
        <v>1</v>
      </c>
      <c r="G3" t="s">
        <v>2</v>
      </c>
    </row>
    <row r="4" spans="3:7" x14ac:dyDescent="0.35">
      <c r="C4">
        <v>0.125</v>
      </c>
      <c r="D4">
        <v>0.5</v>
      </c>
      <c r="F4">
        <f>SpreadFooting.UI!$C$2/2</f>
        <v>1.5</v>
      </c>
      <c r="G4">
        <v>0.5</v>
      </c>
    </row>
    <row r="5" spans="3:7" x14ac:dyDescent="0.35">
      <c r="C5">
        <v>-0.125</v>
      </c>
      <c r="D5">
        <v>0.5</v>
      </c>
      <c r="F5">
        <f>-SpreadFooting.UI!$C$2/2</f>
        <v>-1.5</v>
      </c>
      <c r="G5">
        <v>0.5</v>
      </c>
    </row>
    <row r="6" spans="3:7" x14ac:dyDescent="0.35">
      <c r="C6">
        <v>-0.125</v>
      </c>
      <c r="D6">
        <v>-0.5</v>
      </c>
      <c r="F6">
        <f>-SpreadFooting.UI!$C$2/2</f>
        <v>-1.5</v>
      </c>
      <c r="G6">
        <v>-0.5</v>
      </c>
    </row>
    <row r="7" spans="3:7" x14ac:dyDescent="0.35">
      <c r="C7">
        <v>0.125</v>
      </c>
      <c r="D7">
        <v>-0.5</v>
      </c>
      <c r="F7">
        <f>SpreadFooting.UI!$C$2/2</f>
        <v>1.5</v>
      </c>
      <c r="G7">
        <v>-0.5</v>
      </c>
    </row>
    <row r="8" spans="3:7" x14ac:dyDescent="0.35">
      <c r="C8">
        <v>0.125</v>
      </c>
      <c r="D8">
        <v>0.5</v>
      </c>
      <c r="F8">
        <f>SpreadFooting.UI!$C$2/2</f>
        <v>1.5</v>
      </c>
      <c r="G8">
        <v>0.5</v>
      </c>
    </row>
  </sheetData>
  <mergeCells count="2">
    <mergeCell ref="C2:D2"/>
    <mergeCell ref="F2:G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E395D-D947-4BCA-AA31-27B488E1EE10}">
  <sheetPr codeName="Sheet6">
    <tabColor rgb="FF002060"/>
  </sheetPr>
  <dimension ref="A1"/>
  <sheetViews>
    <sheetView workbookViewId="0">
      <selection activeCell="C2" sqref="C2:D2"/>
    </sheetView>
  </sheetViews>
  <sheetFormatPr defaultRowHeight="14.5" x14ac:dyDescent="0.3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C7D82C7C5840A4FB0B4DC2873FBDCEF" ma:contentTypeVersion="14" ma:contentTypeDescription="Criar um novo documento." ma:contentTypeScope="" ma:versionID="4dbd9fcd67fe6bad8f0190629215dfb9">
  <xsd:schema xmlns:xsd="http://www.w3.org/2001/XMLSchema" xmlns:xs="http://www.w3.org/2001/XMLSchema" xmlns:p="http://schemas.microsoft.com/office/2006/metadata/properties" xmlns:ns3="370c0b80-28f3-446e-8e3d-56876df16a61" xmlns:ns4="941f6299-2880-46dd-a7f1-b8720bd7f447" targetNamespace="http://schemas.microsoft.com/office/2006/metadata/properties" ma:root="true" ma:fieldsID="865868d44bc0f6fa3041920a2f8c3ae0" ns3:_="" ns4:_="">
    <xsd:import namespace="370c0b80-28f3-446e-8e3d-56876df16a61"/>
    <xsd:import namespace="941f6299-2880-46dd-a7f1-b8720bd7f44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ServiceOCR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0c0b80-28f3-446e-8e3d-56876df16a6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Sugestão de Partilh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1f6299-2880-46dd-a7f1-b8720bd7f4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2CF25F4-B65E-4D3A-AC57-A200C9EDDC6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0E1E60-B0B5-40B9-95E8-B1EA132150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0c0b80-28f3-446e-8e3d-56876df16a61"/>
    <ds:schemaRef ds:uri="941f6299-2880-46dd-a7f1-b8720bd7f4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A709402-E88F-4176-A261-33ACBB30F7B1}">
  <ds:schemaRefs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70c0b80-28f3-446e-8e3d-56876df16a61"/>
    <ds:schemaRef ds:uri="http://schemas.microsoft.com/office/2006/documentManagement/types"/>
    <ds:schemaRef ds:uri="http://purl.org/dc/terms/"/>
    <ds:schemaRef ds:uri="941f6299-2880-46dd-a7f1-b8720bd7f44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IsolatedFooting.UI</vt:lpstr>
      <vt:lpstr>SpreadFooting.UI</vt:lpstr>
      <vt:lpstr>FoundationSlab.UI</vt:lpstr>
      <vt:lpstr>Wrinkler Simplificado</vt:lpstr>
      <vt:lpstr>auxiliar</vt:lpstr>
      <vt:lpstr>footing.columns.backend</vt:lpstr>
      <vt:lpstr>footing.wall.backend</vt:lpstr>
      <vt:lpstr>footing.slab.backend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Henrique Teixeira</dc:creator>
  <cp:lastModifiedBy>Nuno Henrique Mendes Moreira Teixeira</cp:lastModifiedBy>
  <dcterms:created xsi:type="dcterms:W3CDTF">2020-12-03T09:48:29Z</dcterms:created>
  <dcterms:modified xsi:type="dcterms:W3CDTF">2025-04-19T23:31:35Z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0x010100DC7D82C7C5840A4FB0B4DC2873FBDCEF</vt:lpwstr>
  </property>
</Properties>
</file>